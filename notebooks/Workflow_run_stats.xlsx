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_\Documents\Thesis\results\"/>
    </mc:Choice>
  </mc:AlternateContent>
  <xr:revisionPtr revIDLastSave="0" documentId="13_ncr:1_{FDC45B41-F5AB-4B6D-8372-206E06CDE36B}" xr6:coauthVersionLast="47" xr6:coauthVersionMax="47" xr10:uidLastSave="{00000000-0000-0000-0000-000000000000}"/>
  <bookViews>
    <workbookView xWindow="-108" yWindow="-108" windowWidth="23256" windowHeight="12456" xr2:uid="{6703F7FF-40DD-4F79-B570-BA584D8FFEF8}"/>
  </bookViews>
  <sheets>
    <sheet name="original" sheetId="1" r:id="rId1"/>
    <sheet name="test" sheetId="3" r:id="rId2"/>
  </sheets>
  <definedNames>
    <definedName name="_xlnm._FilterDatabase" localSheetId="1" hidden="1">test!$A$1:$AD$61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1" i="3" l="1"/>
  <c r="Y31" i="3"/>
  <c r="Y51" i="3"/>
  <c r="Y47" i="3"/>
  <c r="Y27" i="3"/>
  <c r="Y7" i="3"/>
</calcChain>
</file>

<file path=xl/sharedStrings.xml><?xml version="1.0" encoding="utf-8"?>
<sst xmlns="http://schemas.openxmlformats.org/spreadsheetml/2006/main" count="905" uniqueCount="178">
  <si>
    <t>RunID</t>
  </si>
  <si>
    <t>LLM_backend</t>
  </si>
  <si>
    <t>Timestamp</t>
  </si>
  <si>
    <t>Dataset</t>
  </si>
  <si>
    <t>Workflow_succes</t>
  </si>
  <si>
    <t>Iterations</t>
  </si>
  <si>
    <t>Adaptive_dataprep_succes</t>
  </si>
  <si>
    <t>Adaptive_model_code_succes</t>
  </si>
  <si>
    <t>Llama 3.1 8B</t>
  </si>
  <si>
    <t>Qwen2.5 7B</t>
  </si>
  <si>
    <t>Original</t>
  </si>
  <si>
    <t>RMSE</t>
  </si>
  <si>
    <t>MAE</t>
  </si>
  <si>
    <t>Poisson_deviance</t>
  </si>
  <si>
    <t>Belief_assessment</t>
  </si>
  <si>
    <t>TCAV_assessment</t>
  </si>
  <si>
    <t>Fairness_assessment</t>
  </si>
  <si>
    <t>Workflow_decision</t>
  </si>
  <si>
    <t>Test_T1</t>
  </si>
  <si>
    <t>Test_T2</t>
  </si>
  <si>
    <t>Test_T3</t>
  </si>
  <si>
    <t>Test_T4</t>
  </si>
  <si>
    <t>Test_T5</t>
  </si>
  <si>
    <t>Test_T6</t>
  </si>
  <si>
    <t>Test_T7</t>
  </si>
  <si>
    <t>Test_T8</t>
  </si>
  <si>
    <t>Test_T9</t>
  </si>
  <si>
    <t>Test_T10</t>
  </si>
  <si>
    <t>P(Workflow=OK)</t>
  </si>
  <si>
    <t>CONSULT_ACTUARY</t>
  </si>
  <si>
    <t>SEVERE_ISSUES</t>
  </si>
  <si>
    <t>MINOR_ISSUES</t>
  </si>
  <si>
    <t>NONE</t>
  </si>
  <si>
    <t>Model_choice</t>
  </si>
  <si>
    <t>GBM</t>
  </si>
  <si>
    <t>20260131_202121</t>
  </si>
  <si>
    <t>GLM</t>
  </si>
  <si>
    <t>NO_ISSUES</t>
  </si>
  <si>
    <t>20260131_205919</t>
  </si>
  <si>
    <t>20260131_211055</t>
  </si>
  <si>
    <t>20260131_212527</t>
  </si>
  <si>
    <t>20260201_182009</t>
  </si>
  <si>
    <t>20260201_185337</t>
  </si>
  <si>
    <t>20260201_191310</t>
  </si>
  <si>
    <t>20260201_194120</t>
  </si>
  <si>
    <t>20260201_195446</t>
  </si>
  <si>
    <t>Llama 2 7B</t>
  </si>
  <si>
    <t>APPROVE</t>
  </si>
  <si>
    <t>20260205_180357</t>
  </si>
  <si>
    <t>20260205_181231</t>
  </si>
  <si>
    <t>20260205_183138</t>
  </si>
  <si>
    <t>20260131_203624</t>
  </si>
  <si>
    <t>Test_T11</t>
  </si>
  <si>
    <t>Test_T12</t>
  </si>
  <si>
    <t>Test_T13</t>
  </si>
  <si>
    <t>Test_T14</t>
  </si>
  <si>
    <t>Test_T15</t>
  </si>
  <si>
    <t>Test_T16</t>
  </si>
  <si>
    <t>Test_T17</t>
  </si>
  <si>
    <t>20260205_195843</t>
  </si>
  <si>
    <t>20260205_201858</t>
  </si>
  <si>
    <t>20260206_190015</t>
  </si>
  <si>
    <t>20260206_190939</t>
  </si>
  <si>
    <t>code_error</t>
  </si>
  <si>
    <t>ABORT</t>
  </si>
  <si>
    <t>20260206_192051</t>
  </si>
  <si>
    <t>20260207_185042</t>
  </si>
  <si>
    <t>20260207_190334</t>
  </si>
  <si>
    <t>20260207_191912</t>
  </si>
  <si>
    <t>20260207_193417</t>
  </si>
  <si>
    <t>20260207_195102</t>
  </si>
  <si>
    <t>20260207_201333</t>
  </si>
  <si>
    <t>20260207_202330</t>
  </si>
  <si>
    <t>20260207_203658</t>
  </si>
  <si>
    <t>20260207_204642</t>
  </si>
  <si>
    <t>20260207_210404</t>
  </si>
  <si>
    <t>20260208_182749</t>
  </si>
  <si>
    <t>20260208_183328</t>
  </si>
  <si>
    <t>Comment</t>
  </si>
  <si>
    <t>Error_detected</t>
  </si>
  <si>
    <t>Decision_dataprep_review</t>
  </si>
  <si>
    <t>Decision_model_review</t>
  </si>
  <si>
    <t>APPROVE_WITH_NOTES</t>
  </si>
  <si>
    <t>20260216_142602</t>
  </si>
  <si>
    <t>20260216_150652</t>
  </si>
  <si>
    <t>20260216_161005</t>
  </si>
  <si>
    <t>20260216_181131</t>
  </si>
  <si>
    <t>SEVER_ISSUES</t>
  </si>
  <si>
    <t>20260216_183319</t>
  </si>
  <si>
    <t>20260216_185151</t>
  </si>
  <si>
    <t>20260216_190533</t>
  </si>
  <si>
    <t>20260216_193523</t>
  </si>
  <si>
    <t>20260216_194719</t>
  </si>
  <si>
    <t>20260217_071348</t>
  </si>
  <si>
    <t>20260217_073143</t>
  </si>
  <si>
    <t>Sparsity_zero</t>
  </si>
  <si>
    <t>Sparsity_numeric</t>
  </si>
  <si>
    <t>20260217_075547</t>
  </si>
  <si>
    <t>20260217_083341</t>
  </si>
  <si>
    <t>Reviewer flags the change in label distribution and the poor model fit.</t>
  </si>
  <si>
    <t>20260217_091013</t>
  </si>
  <si>
    <t>RETRAIN</t>
  </si>
  <si>
    <t>RETRAIN. Reviewer flags the change in label distribution and the poor model fit, and asks to RETRAIN. First retrain with GLM, then in the 3rd iteration the agents applied GBM.</t>
  </si>
  <si>
    <t>20260218_175951</t>
  </si>
  <si>
    <t>Reviewer flags the change in label distribution and the poor model fit but is not really signalling the issue.</t>
  </si>
  <si>
    <t>20260218_181718</t>
  </si>
  <si>
    <t>Reviewer flags the change in label distribution and the poor model fit. But reviewer argues that the issues are not severe enough to warrant retraining.</t>
  </si>
  <si>
    <t>20260218_183732</t>
  </si>
  <si>
    <t>RETRAIN. Reviewer flags the change in label distribution and the poor model fit, and asks to RETRAIN. Retrains with GLM and then flags that the iteration did not improve the results.</t>
  </si>
  <si>
    <t>20260218_190157</t>
  </si>
  <si>
    <t>Not flagged, perhaps change is too small for detection.</t>
  </si>
  <si>
    <t>20260218_192128</t>
  </si>
  <si>
    <t>20260218_201319</t>
  </si>
  <si>
    <t>20260219_075633</t>
  </si>
  <si>
    <t>20260219_081621</t>
  </si>
  <si>
    <t>20260219_083816</t>
  </si>
  <si>
    <t>Flagged in model review, but no action.</t>
  </si>
  <si>
    <t>20260219_095012</t>
  </si>
  <si>
    <t>Reviewer flags the change for the feature, but no big impact on fit.</t>
  </si>
  <si>
    <t>RECLEAN</t>
  </si>
  <si>
    <t>Flagged, and routed to RECLEAN</t>
  </si>
  <si>
    <t>20260219_101149</t>
  </si>
  <si>
    <t>20260219_120127</t>
  </si>
  <si>
    <t>Reviewer picks up the shift in feature coefficients. RETRAIN.</t>
  </si>
  <si>
    <t>20260219_151045</t>
  </si>
  <si>
    <t>Not flagged.</t>
  </si>
  <si>
    <t>Flagged, and routed to RETRAIN. Attempted GBM in 2nd iteration which improved the metrics.</t>
  </si>
  <si>
    <t>20260219_154412</t>
  </si>
  <si>
    <t>20260219_160415</t>
  </si>
  <si>
    <t>20260219_190023</t>
  </si>
  <si>
    <t>Reviewer flags the additional feature, but no big impact on fit.</t>
  </si>
  <si>
    <t>20260219_191841</t>
  </si>
  <si>
    <t>20260219_193817</t>
  </si>
  <si>
    <t>20260220_192642</t>
  </si>
  <si>
    <t>20260220_194323</t>
  </si>
  <si>
    <t>20260220_201034</t>
  </si>
  <si>
    <t>20260222_170543</t>
  </si>
  <si>
    <t>Flagged, severe issues, but no further action.</t>
  </si>
  <si>
    <t>20260222_172614</t>
  </si>
  <si>
    <t>20260222_180144</t>
  </si>
  <si>
    <t>Flagged in comments, but minor issues concluded.</t>
  </si>
  <si>
    <t>row_change</t>
  </si>
  <si>
    <t>col_change</t>
  </si>
  <si>
    <t>missingness</t>
  </si>
  <si>
    <t>target_shift</t>
  </si>
  <si>
    <t>avg_psi</t>
  </si>
  <si>
    <t>corr_shift</t>
  </si>
  <si>
    <t>severity_score</t>
  </si>
  <si>
    <t>20260222_181847</t>
  </si>
  <si>
    <t>20260222_184056</t>
  </si>
  <si>
    <t>20260222_195153</t>
  </si>
  <si>
    <t>20260222_200859</t>
  </si>
  <si>
    <t>20260222_202517</t>
  </si>
  <si>
    <t>20260223_084016</t>
  </si>
  <si>
    <t>20260223_085906</t>
  </si>
  <si>
    <t>20260223_091857</t>
  </si>
  <si>
    <t>20260223_133530</t>
  </si>
  <si>
    <t>20260223_135356</t>
  </si>
  <si>
    <t>20260223_141334</t>
  </si>
  <si>
    <t>sparsity</t>
  </si>
  <si>
    <t>sparsity_numeric</t>
  </si>
  <si>
    <t>column_change</t>
  </si>
  <si>
    <t>missing_rate</t>
  </si>
  <si>
    <t>population_shift</t>
  </si>
  <si>
    <t>correlation_shift</t>
  </si>
  <si>
    <t>20260222_193111</t>
  </si>
  <si>
    <t>Test_T18</t>
  </si>
  <si>
    <t>Test_T19</t>
  </si>
  <si>
    <t>Test_T20</t>
  </si>
  <si>
    <t>20260306_183424</t>
  </si>
  <si>
    <t>20260306_190845</t>
  </si>
  <si>
    <t>20260306_193414</t>
  </si>
  <si>
    <t>20260306_195838</t>
  </si>
  <si>
    <t>20260306_203113</t>
  </si>
  <si>
    <t>20260306_204807</t>
  </si>
  <si>
    <t>20260307_180022</t>
  </si>
  <si>
    <t>20260307_182431</t>
  </si>
  <si>
    <t>20260307_184747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</si>
</sst>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0_ ;_ * \-#,##0.0000_ ;_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4" fontId="0" fillId="0" borderId="0" xfId="1" applyNumberFormat="1" applyFont="1"/>
    <xf numFmtId="0" fontId="1" fillId="0" borderId="0" xfId="0" applyFont="1" applyAlignment="1">
      <alignment horizontal="left"/>
    </xf>
    <xf numFmtId="0" fontId="4" fillId="2" borderId="0" xfId="0" applyFont="1" applyFill="1"/>
    <xf numFmtId="0" fontId="4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6424-2756-415B-860C-1E49C5A08E13}">
  <dimension ref="A1:AD43"/>
  <sheetViews>
    <sheetView tabSelected="1" workbookViewId="0">
      <pane xSplit="4" ySplit="1" topLeftCell="J14" activePane="bottomRight" state="frozen"/>
      <selection pane="topRight" activeCell="E1" sqref="E1"/>
      <selection pane="bottomLeft" activeCell="A2" sqref="A2"/>
      <selection pane="bottomRight" activeCell="C32" sqref="C32"/>
    </sheetView>
  </sheetViews>
  <sheetFormatPr defaultRowHeight="14.4" x14ac:dyDescent="0.3"/>
  <cols>
    <col min="2" max="2" width="15.88671875" bestFit="1" customWidth="1"/>
    <col min="3" max="3" width="12.33203125" bestFit="1" customWidth="1"/>
    <col min="5" max="5" width="16" bestFit="1" customWidth="1"/>
    <col min="6" max="6" width="17.44140625" bestFit="1" customWidth="1"/>
    <col min="7" max="7" width="9" bestFit="1" customWidth="1"/>
    <col min="8" max="8" width="23.77734375" bestFit="1" customWidth="1"/>
    <col min="9" max="9" width="12.44140625" bestFit="1" customWidth="1"/>
    <col min="10" max="10" width="26.44140625" bestFit="1" customWidth="1"/>
    <col min="11" max="11" width="16.5546875" bestFit="1" customWidth="1"/>
    <col min="12" max="12" width="16.109375" bestFit="1" customWidth="1"/>
    <col min="13" max="13" width="18.88671875" bestFit="1" customWidth="1"/>
    <col min="14" max="15" width="7.21875" bestFit="1" customWidth="1"/>
    <col min="16" max="16" width="15.88671875" bestFit="1" customWidth="1"/>
    <col min="17" max="17" width="14.77734375" bestFit="1" customWidth="1"/>
    <col min="18" max="18" width="15.77734375" style="6" customWidth="1"/>
    <col min="19" max="19" width="13.44140625" style="3" bestFit="1" customWidth="1"/>
    <col min="20" max="20" width="23.21875" style="3" bestFit="1" customWidth="1"/>
    <col min="21" max="21" width="20.77734375" style="3" bestFit="1" customWidth="1"/>
  </cols>
  <sheetData>
    <row r="1" spans="1:30" s="1" customFormat="1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17</v>
      </c>
      <c r="G1" s="1" t="s">
        <v>5</v>
      </c>
      <c r="H1" s="1" t="s">
        <v>6</v>
      </c>
      <c r="I1" s="1" t="s">
        <v>33</v>
      </c>
      <c r="J1" s="1" t="s">
        <v>7</v>
      </c>
      <c r="K1" s="1" t="s">
        <v>14</v>
      </c>
      <c r="L1" s="1" t="s">
        <v>15</v>
      </c>
      <c r="M1" s="1" t="s">
        <v>16</v>
      </c>
      <c r="N1" s="1" t="s">
        <v>11</v>
      </c>
      <c r="O1" s="1" t="s">
        <v>12</v>
      </c>
      <c r="P1" s="1" t="s">
        <v>13</v>
      </c>
      <c r="Q1" s="1" t="s">
        <v>28</v>
      </c>
      <c r="R1" s="9" t="s">
        <v>78</v>
      </c>
      <c r="S1" s="7" t="s">
        <v>79</v>
      </c>
      <c r="T1" s="7" t="s">
        <v>80</v>
      </c>
      <c r="U1" s="7" t="s">
        <v>81</v>
      </c>
      <c r="V1" s="1" t="s">
        <v>95</v>
      </c>
      <c r="W1" s="1" t="s">
        <v>96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</row>
    <row r="2" spans="1:30" x14ac:dyDescent="0.3">
      <c r="A2" s="2">
        <v>1</v>
      </c>
      <c r="B2" s="2" t="s">
        <v>48</v>
      </c>
      <c r="C2" s="2" t="s">
        <v>46</v>
      </c>
      <c r="D2" s="2" t="s">
        <v>10</v>
      </c>
      <c r="E2" s="3">
        <v>1</v>
      </c>
      <c r="F2" s="3" t="s">
        <v>47</v>
      </c>
      <c r="G2" s="3">
        <v>1</v>
      </c>
      <c r="H2" s="3">
        <v>1</v>
      </c>
      <c r="I2" s="3" t="s">
        <v>36</v>
      </c>
      <c r="J2" s="3">
        <v>0</v>
      </c>
      <c r="K2" s="3" t="s">
        <v>37</v>
      </c>
      <c r="L2" s="3" t="s">
        <v>37</v>
      </c>
      <c r="M2" s="3" t="s">
        <v>37</v>
      </c>
      <c r="N2" s="4">
        <v>0.88677879020352102</v>
      </c>
      <c r="O2" s="4">
        <v>0.23232180701235799</v>
      </c>
      <c r="P2" s="4">
        <v>0.94769861349936002</v>
      </c>
      <c r="Q2" s="5">
        <v>0.7006</v>
      </c>
      <c r="V2" s="8">
        <v>8.6243675760395905E-2</v>
      </c>
      <c r="W2" s="8">
        <v>0.12936551364059301</v>
      </c>
      <c r="X2" s="8" t="e">
        <v>#N/A</v>
      </c>
      <c r="Y2" s="8" t="e">
        <v>#N/A</v>
      </c>
      <c r="Z2" s="8" t="e">
        <v>#N/A</v>
      </c>
      <c r="AA2" s="8" t="e">
        <v>#N/A</v>
      </c>
      <c r="AB2" s="8" t="e">
        <v>#N/A</v>
      </c>
      <c r="AC2" s="8" t="e">
        <v>#N/A</v>
      </c>
      <c r="AD2" s="8" t="e">
        <v>#N/A</v>
      </c>
    </row>
    <row r="3" spans="1:30" x14ac:dyDescent="0.3">
      <c r="A3" s="2">
        <v>2</v>
      </c>
      <c r="B3" s="2" t="s">
        <v>49</v>
      </c>
      <c r="C3" s="2" t="s">
        <v>46</v>
      </c>
      <c r="D3" s="2" t="s">
        <v>10</v>
      </c>
      <c r="E3" s="3">
        <v>1</v>
      </c>
      <c r="F3" s="3" t="s">
        <v>47</v>
      </c>
      <c r="G3" s="3">
        <v>1</v>
      </c>
      <c r="H3" s="3">
        <v>1</v>
      </c>
      <c r="I3" s="3" t="s">
        <v>36</v>
      </c>
      <c r="J3" s="3">
        <v>0</v>
      </c>
      <c r="K3" s="3" t="s">
        <v>31</v>
      </c>
      <c r="L3" s="3" t="s">
        <v>37</v>
      </c>
      <c r="M3" s="3" t="s">
        <v>37</v>
      </c>
      <c r="N3" s="4">
        <v>0.88677879020352102</v>
      </c>
      <c r="O3" s="4">
        <v>0.23232180701235799</v>
      </c>
      <c r="P3" s="4">
        <v>0.94769861349936002</v>
      </c>
      <c r="Q3" s="5">
        <v>0.70789999999999997</v>
      </c>
      <c r="V3" s="8">
        <v>8.6243675760395905E-2</v>
      </c>
      <c r="W3" s="8">
        <v>0.12936551364059301</v>
      </c>
      <c r="X3" s="8" t="e">
        <v>#N/A</v>
      </c>
      <c r="Y3" s="8" t="e">
        <v>#N/A</v>
      </c>
      <c r="Z3" s="8" t="e">
        <v>#N/A</v>
      </c>
      <c r="AA3" s="8" t="e">
        <v>#N/A</v>
      </c>
      <c r="AB3" s="8" t="e">
        <v>#N/A</v>
      </c>
      <c r="AC3" s="8" t="e">
        <v>#N/A</v>
      </c>
      <c r="AD3" s="8" t="e">
        <v>#N/A</v>
      </c>
    </row>
    <row r="4" spans="1:30" x14ac:dyDescent="0.3">
      <c r="A4" s="2">
        <v>3</v>
      </c>
      <c r="B4" s="2" t="s">
        <v>50</v>
      </c>
      <c r="C4" s="2" t="s">
        <v>46</v>
      </c>
      <c r="D4" s="2" t="s">
        <v>10</v>
      </c>
      <c r="E4" s="3">
        <v>1</v>
      </c>
      <c r="F4" s="3" t="s">
        <v>47</v>
      </c>
      <c r="G4" s="3">
        <v>1</v>
      </c>
      <c r="H4" s="3">
        <v>1</v>
      </c>
      <c r="I4" s="3" t="s">
        <v>36</v>
      </c>
      <c r="J4" s="3">
        <v>0</v>
      </c>
      <c r="K4" s="3" t="s">
        <v>37</v>
      </c>
      <c r="L4" s="3" t="s">
        <v>37</v>
      </c>
      <c r="M4" s="3" t="s">
        <v>31</v>
      </c>
      <c r="N4" s="4">
        <v>0.88677879020352102</v>
      </c>
      <c r="O4" s="4">
        <v>0.23232180701235799</v>
      </c>
      <c r="P4" s="4">
        <v>0.94769861349936002</v>
      </c>
      <c r="Q4" s="5">
        <v>0.70240000000000002</v>
      </c>
      <c r="V4" s="8">
        <v>8.6243675760395905E-2</v>
      </c>
      <c r="W4" s="8">
        <v>0.12936551364059301</v>
      </c>
      <c r="X4" s="8" t="e">
        <v>#N/A</v>
      </c>
      <c r="Y4" s="8" t="e">
        <v>#N/A</v>
      </c>
      <c r="Z4" s="8" t="e">
        <v>#N/A</v>
      </c>
      <c r="AA4" s="8" t="e">
        <v>#N/A</v>
      </c>
      <c r="AB4" s="8" t="e">
        <v>#N/A</v>
      </c>
      <c r="AC4" s="8" t="e">
        <v>#N/A</v>
      </c>
      <c r="AD4" s="8" t="e">
        <v>#N/A</v>
      </c>
    </row>
    <row r="5" spans="1:30" x14ac:dyDescent="0.3">
      <c r="A5" s="2">
        <v>4</v>
      </c>
      <c r="B5" s="2" t="s">
        <v>59</v>
      </c>
      <c r="C5" s="2" t="s">
        <v>46</v>
      </c>
      <c r="D5" s="2" t="s">
        <v>10</v>
      </c>
      <c r="E5" s="3">
        <v>1</v>
      </c>
      <c r="F5" s="3" t="s">
        <v>29</v>
      </c>
      <c r="G5" s="3">
        <v>1</v>
      </c>
      <c r="H5" s="3">
        <v>1</v>
      </c>
      <c r="I5" s="3" t="s">
        <v>36</v>
      </c>
      <c r="J5" s="3">
        <v>0</v>
      </c>
      <c r="K5" s="3" t="s">
        <v>37</v>
      </c>
      <c r="L5" s="3" t="s">
        <v>37</v>
      </c>
      <c r="M5" s="3" t="s">
        <v>31</v>
      </c>
      <c r="N5" s="4">
        <v>0.88677879020352102</v>
      </c>
      <c r="O5" s="4">
        <v>0.23232180701235799</v>
      </c>
      <c r="P5" s="4">
        <v>0.94769861349936002</v>
      </c>
      <c r="Q5" s="5">
        <v>0.74709999999999999</v>
      </c>
      <c r="V5" s="8">
        <v>8.6243675760395905E-2</v>
      </c>
      <c r="W5" s="8">
        <v>0.12936551364059301</v>
      </c>
      <c r="X5" s="8" t="e">
        <v>#N/A</v>
      </c>
      <c r="Y5" s="8" t="e">
        <v>#N/A</v>
      </c>
      <c r="Z5" s="8" t="e">
        <v>#N/A</v>
      </c>
      <c r="AA5" s="8" t="e">
        <v>#N/A</v>
      </c>
      <c r="AB5" s="8" t="e">
        <v>#N/A</v>
      </c>
      <c r="AC5" s="8" t="e">
        <v>#N/A</v>
      </c>
      <c r="AD5" s="8" t="e">
        <v>#N/A</v>
      </c>
    </row>
    <row r="6" spans="1:30" x14ac:dyDescent="0.3">
      <c r="A6" s="2">
        <v>5</v>
      </c>
      <c r="B6" s="2" t="s">
        <v>60</v>
      </c>
      <c r="C6" s="2" t="s">
        <v>46</v>
      </c>
      <c r="D6" s="2" t="s">
        <v>10</v>
      </c>
      <c r="E6" s="3">
        <v>1</v>
      </c>
      <c r="F6" s="3" t="s">
        <v>29</v>
      </c>
      <c r="G6" s="3">
        <v>1</v>
      </c>
      <c r="H6" s="3">
        <v>0</v>
      </c>
      <c r="I6" s="3" t="s">
        <v>36</v>
      </c>
      <c r="J6" s="3">
        <v>0</v>
      </c>
      <c r="K6" s="3" t="s">
        <v>30</v>
      </c>
      <c r="L6" s="3" t="s">
        <v>31</v>
      </c>
      <c r="M6" s="3" t="s">
        <v>31</v>
      </c>
      <c r="N6" s="4">
        <v>0.88677879020352102</v>
      </c>
      <c r="O6" s="4">
        <v>0.23232180701235799</v>
      </c>
      <c r="P6" s="4">
        <v>0.94769861349936002</v>
      </c>
      <c r="Q6" s="5">
        <v>0.70850000000000002</v>
      </c>
      <c r="V6" s="8">
        <v>8.6243675760395905E-2</v>
      </c>
      <c r="W6" s="8">
        <v>0.12936551364059301</v>
      </c>
      <c r="X6" s="8" t="e">
        <v>#N/A</v>
      </c>
      <c r="Y6" s="8" t="e">
        <v>#N/A</v>
      </c>
      <c r="Z6" s="8" t="e">
        <v>#N/A</v>
      </c>
      <c r="AA6" s="8" t="e">
        <v>#N/A</v>
      </c>
      <c r="AB6" s="8" t="e">
        <v>#N/A</v>
      </c>
      <c r="AC6" s="8" t="e">
        <v>#N/A</v>
      </c>
      <c r="AD6" s="8" t="e">
        <v>#N/A</v>
      </c>
    </row>
    <row r="7" spans="1:30" x14ac:dyDescent="0.3">
      <c r="A7" s="2">
        <v>6</v>
      </c>
      <c r="B7" s="2" t="s">
        <v>61</v>
      </c>
      <c r="C7" s="2" t="s">
        <v>46</v>
      </c>
      <c r="D7" s="2" t="s">
        <v>10</v>
      </c>
      <c r="E7" s="3">
        <v>1</v>
      </c>
      <c r="F7" s="3" t="s">
        <v>47</v>
      </c>
      <c r="G7" s="3">
        <v>2</v>
      </c>
      <c r="H7" s="3">
        <v>1</v>
      </c>
      <c r="I7" s="3" t="s">
        <v>34</v>
      </c>
      <c r="J7" s="3">
        <v>1</v>
      </c>
      <c r="K7" s="3" t="s">
        <v>37</v>
      </c>
      <c r="L7" s="3" t="s">
        <v>37</v>
      </c>
      <c r="M7" s="3" t="s">
        <v>37</v>
      </c>
      <c r="N7" s="4">
        <v>0.87705202821837502</v>
      </c>
      <c r="O7" s="4">
        <v>0.23281584848859499</v>
      </c>
      <c r="P7" s="4">
        <v>0.88232080967828197</v>
      </c>
      <c r="Q7" s="5">
        <v>0.75949999999999995</v>
      </c>
      <c r="V7" s="8">
        <v>8.6243675760395905E-2</v>
      </c>
      <c r="W7" s="8">
        <v>0.12936551364059301</v>
      </c>
      <c r="X7" s="8" t="e">
        <v>#N/A</v>
      </c>
      <c r="Y7" s="8" t="e">
        <v>#N/A</v>
      </c>
      <c r="Z7" s="8" t="e">
        <v>#N/A</v>
      </c>
      <c r="AA7" s="8" t="e">
        <v>#N/A</v>
      </c>
      <c r="AB7" s="8" t="e">
        <v>#N/A</v>
      </c>
      <c r="AC7" s="8" t="e">
        <v>#N/A</v>
      </c>
      <c r="AD7" s="8" t="e">
        <v>#N/A</v>
      </c>
    </row>
    <row r="8" spans="1:30" x14ac:dyDescent="0.3">
      <c r="A8" s="2">
        <v>7</v>
      </c>
      <c r="B8" s="2" t="s">
        <v>62</v>
      </c>
      <c r="C8" s="2" t="s">
        <v>46</v>
      </c>
      <c r="D8" s="2" t="s">
        <v>10</v>
      </c>
      <c r="E8" s="3">
        <v>0</v>
      </c>
      <c r="F8" s="3" t="s">
        <v>64</v>
      </c>
      <c r="G8" s="3">
        <v>1</v>
      </c>
      <c r="H8" s="3">
        <v>1</v>
      </c>
      <c r="I8" s="3"/>
      <c r="J8" s="3">
        <v>0</v>
      </c>
      <c r="K8" s="3"/>
      <c r="L8" s="3"/>
      <c r="M8" s="3"/>
      <c r="N8" s="4"/>
      <c r="O8" s="4"/>
      <c r="P8" s="4"/>
      <c r="Q8" s="5">
        <v>0.81830000000000003</v>
      </c>
      <c r="V8" s="8">
        <v>8.6243675760395905E-2</v>
      </c>
      <c r="W8" s="8">
        <v>0.12936551364059301</v>
      </c>
      <c r="X8" s="8" t="e">
        <v>#N/A</v>
      </c>
      <c r="Y8" s="8" t="e">
        <v>#N/A</v>
      </c>
      <c r="Z8" s="8" t="e">
        <v>#N/A</v>
      </c>
      <c r="AA8" s="8" t="e">
        <v>#N/A</v>
      </c>
      <c r="AB8" s="8" t="e">
        <v>#N/A</v>
      </c>
      <c r="AC8" s="8" t="e">
        <v>#N/A</v>
      </c>
      <c r="AD8" s="8" t="e">
        <v>#N/A</v>
      </c>
    </row>
    <row r="9" spans="1:30" x14ac:dyDescent="0.3">
      <c r="A9" s="2">
        <v>8</v>
      </c>
      <c r="B9" s="2" t="s">
        <v>65</v>
      </c>
      <c r="C9" s="2" t="s">
        <v>46</v>
      </c>
      <c r="D9" s="2" t="s">
        <v>10</v>
      </c>
      <c r="E9" s="3">
        <v>1</v>
      </c>
      <c r="F9" s="3" t="s">
        <v>29</v>
      </c>
      <c r="G9" s="3">
        <v>1</v>
      </c>
      <c r="H9" s="3">
        <v>1</v>
      </c>
      <c r="I9" s="3" t="s">
        <v>36</v>
      </c>
      <c r="J9" s="3">
        <v>0</v>
      </c>
      <c r="K9" s="3" t="s">
        <v>37</v>
      </c>
      <c r="L9" s="3" t="s">
        <v>37</v>
      </c>
      <c r="M9" s="3" t="s">
        <v>37</v>
      </c>
      <c r="N9" s="4">
        <v>0.88677879020352102</v>
      </c>
      <c r="O9" s="4">
        <v>0.23232180701235799</v>
      </c>
      <c r="P9" s="4">
        <v>0.94769861349936002</v>
      </c>
      <c r="Q9" s="5">
        <v>0.70289999999999997</v>
      </c>
      <c r="V9" s="8">
        <v>8.6243675760395905E-2</v>
      </c>
      <c r="W9" s="8">
        <v>0.12936551364059301</v>
      </c>
      <c r="X9" s="8" t="e">
        <v>#N/A</v>
      </c>
      <c r="Y9" s="8" t="e">
        <v>#N/A</v>
      </c>
      <c r="Z9" s="8" t="e">
        <v>#N/A</v>
      </c>
      <c r="AA9" s="8" t="e">
        <v>#N/A</v>
      </c>
      <c r="AB9" s="8" t="e">
        <v>#N/A</v>
      </c>
      <c r="AC9" s="8" t="e">
        <v>#N/A</v>
      </c>
      <c r="AD9" s="8" t="e">
        <v>#N/A</v>
      </c>
    </row>
    <row r="10" spans="1:30" x14ac:dyDescent="0.3">
      <c r="A10" s="2">
        <v>9</v>
      </c>
      <c r="B10" s="2" t="s">
        <v>76</v>
      </c>
      <c r="C10" s="2" t="s">
        <v>46</v>
      </c>
      <c r="D10" s="2" t="s">
        <v>10</v>
      </c>
      <c r="E10" s="3">
        <v>1</v>
      </c>
      <c r="F10" s="3" t="s">
        <v>47</v>
      </c>
      <c r="G10" s="3">
        <v>1</v>
      </c>
      <c r="H10" s="3">
        <v>1</v>
      </c>
      <c r="I10" s="3" t="s">
        <v>36</v>
      </c>
      <c r="J10" s="3">
        <v>0</v>
      </c>
      <c r="K10" s="3" t="s">
        <v>37</v>
      </c>
      <c r="L10" s="3" t="s">
        <v>37</v>
      </c>
      <c r="M10" s="3" t="s">
        <v>31</v>
      </c>
      <c r="N10" s="4">
        <v>0.88677879020352102</v>
      </c>
      <c r="O10" s="4">
        <v>0.23232180701235799</v>
      </c>
      <c r="P10" s="4">
        <v>0.94769861349936002</v>
      </c>
      <c r="Q10" s="5">
        <v>0.69440000000000002</v>
      </c>
      <c r="V10" s="8">
        <v>8.6243675760395905E-2</v>
      </c>
      <c r="W10" s="8">
        <v>0.12936551364059301</v>
      </c>
      <c r="X10" s="8" t="e">
        <v>#N/A</v>
      </c>
      <c r="Y10" s="8" t="e">
        <v>#N/A</v>
      </c>
      <c r="Z10" s="8" t="e">
        <v>#N/A</v>
      </c>
      <c r="AA10" s="8" t="e">
        <v>#N/A</v>
      </c>
      <c r="AB10" s="8" t="e">
        <v>#N/A</v>
      </c>
      <c r="AC10" s="8" t="e">
        <v>#N/A</v>
      </c>
      <c r="AD10" s="8" t="e">
        <v>#N/A</v>
      </c>
    </row>
    <row r="11" spans="1:30" x14ac:dyDescent="0.3">
      <c r="A11" s="2">
        <v>10</v>
      </c>
      <c r="B11" s="2" t="s">
        <v>77</v>
      </c>
      <c r="C11" s="2" t="s">
        <v>46</v>
      </c>
      <c r="D11" s="2" t="s">
        <v>10</v>
      </c>
      <c r="E11" s="3">
        <v>0</v>
      </c>
      <c r="F11" s="3" t="s">
        <v>64</v>
      </c>
      <c r="G11" s="3">
        <v>1</v>
      </c>
      <c r="H11" s="3">
        <v>1</v>
      </c>
      <c r="I11" s="3"/>
      <c r="J11" s="3">
        <v>0</v>
      </c>
      <c r="K11" s="3"/>
      <c r="L11" s="3"/>
      <c r="M11" s="3"/>
      <c r="N11" s="4"/>
      <c r="O11" s="4"/>
      <c r="P11" s="4"/>
      <c r="Q11" s="5">
        <v>0.80369999999999997</v>
      </c>
      <c r="V11" s="8">
        <v>8.6243675760395905E-2</v>
      </c>
      <c r="W11" s="8">
        <v>0.12936551364059301</v>
      </c>
      <c r="X11" s="8" t="e">
        <v>#N/A</v>
      </c>
      <c r="Y11" s="8" t="e">
        <v>#N/A</v>
      </c>
      <c r="Z11" s="8" t="e">
        <v>#N/A</v>
      </c>
      <c r="AA11" s="8" t="e">
        <v>#N/A</v>
      </c>
      <c r="AB11" s="8" t="e">
        <v>#N/A</v>
      </c>
      <c r="AC11" s="8" t="e">
        <v>#N/A</v>
      </c>
      <c r="AD11" s="8" t="e">
        <v>#N/A</v>
      </c>
    </row>
    <row r="12" spans="1:30" x14ac:dyDescent="0.3">
      <c r="A12" s="2">
        <v>11</v>
      </c>
      <c r="B12" s="2" t="s">
        <v>35</v>
      </c>
      <c r="C12" s="2" t="s">
        <v>8</v>
      </c>
      <c r="D12" s="2" t="s">
        <v>10</v>
      </c>
      <c r="E12" s="3">
        <v>1</v>
      </c>
      <c r="F12" s="3" t="s">
        <v>29</v>
      </c>
      <c r="G12" s="3">
        <v>1</v>
      </c>
      <c r="H12" s="3">
        <v>0</v>
      </c>
      <c r="I12" s="3" t="s">
        <v>34</v>
      </c>
      <c r="J12" s="3">
        <v>1</v>
      </c>
      <c r="K12" s="3" t="s">
        <v>32</v>
      </c>
      <c r="L12" s="3" t="s">
        <v>31</v>
      </c>
      <c r="M12" s="3" t="s">
        <v>30</v>
      </c>
      <c r="N12" s="4">
        <v>0.87705202821837502</v>
      </c>
      <c r="O12" s="4">
        <v>0.23281584848859499</v>
      </c>
      <c r="P12" s="4">
        <v>0.88232080967828197</v>
      </c>
      <c r="Q12" s="5">
        <v>0.55130000000000001</v>
      </c>
      <c r="V12" s="8">
        <v>8.6243675760395905E-2</v>
      </c>
      <c r="W12" s="8">
        <v>0.12936551364059301</v>
      </c>
      <c r="X12" s="8" t="e">
        <v>#N/A</v>
      </c>
      <c r="Y12" s="8" t="e">
        <v>#N/A</v>
      </c>
      <c r="Z12" s="8" t="e">
        <v>#N/A</v>
      </c>
      <c r="AA12" s="8" t="e">
        <v>#N/A</v>
      </c>
      <c r="AB12" s="8" t="e">
        <v>#N/A</v>
      </c>
      <c r="AC12" s="8" t="e">
        <v>#N/A</v>
      </c>
      <c r="AD12" s="8" t="e">
        <v>#N/A</v>
      </c>
    </row>
    <row r="13" spans="1:30" x14ac:dyDescent="0.3">
      <c r="A13" s="2">
        <v>12</v>
      </c>
      <c r="B13" s="2" t="s">
        <v>51</v>
      </c>
      <c r="C13" s="2" t="s">
        <v>8</v>
      </c>
      <c r="D13" s="2" t="s">
        <v>10</v>
      </c>
      <c r="E13" s="3">
        <v>0</v>
      </c>
      <c r="F13" s="3" t="s">
        <v>63</v>
      </c>
      <c r="G13" s="3"/>
      <c r="H13" s="3">
        <v>0</v>
      </c>
      <c r="I13" s="3"/>
      <c r="J13" s="3">
        <v>0</v>
      </c>
      <c r="K13" s="3"/>
      <c r="L13" s="3"/>
      <c r="M13" s="3"/>
      <c r="N13" s="4"/>
      <c r="O13" s="4"/>
      <c r="P13" s="4"/>
      <c r="Q13" s="5"/>
      <c r="V13" s="8">
        <v>8.6243675760395905E-2</v>
      </c>
      <c r="W13" s="8">
        <v>0.12936551364059301</v>
      </c>
      <c r="X13" s="8" t="e">
        <v>#N/A</v>
      </c>
      <c r="Y13" s="8" t="e">
        <v>#N/A</v>
      </c>
      <c r="Z13" s="8" t="e">
        <v>#N/A</v>
      </c>
      <c r="AA13" s="8" t="e">
        <v>#N/A</v>
      </c>
      <c r="AB13" s="8" t="e">
        <v>#N/A</v>
      </c>
      <c r="AC13" s="8" t="e">
        <v>#N/A</v>
      </c>
      <c r="AD13" s="8" t="e">
        <v>#N/A</v>
      </c>
    </row>
    <row r="14" spans="1:30" x14ac:dyDescent="0.3">
      <c r="A14" s="2">
        <v>13</v>
      </c>
      <c r="B14" s="2" t="s">
        <v>38</v>
      </c>
      <c r="C14" s="2" t="s">
        <v>8</v>
      </c>
      <c r="D14" s="2" t="s">
        <v>10</v>
      </c>
      <c r="E14" s="3">
        <v>1</v>
      </c>
      <c r="F14" s="3" t="s">
        <v>29</v>
      </c>
      <c r="G14" s="3">
        <v>1</v>
      </c>
      <c r="H14" s="3">
        <v>0</v>
      </c>
      <c r="I14" s="3" t="s">
        <v>36</v>
      </c>
      <c r="J14" s="3">
        <v>1</v>
      </c>
      <c r="K14" s="3" t="s">
        <v>37</v>
      </c>
      <c r="L14" s="3" t="s">
        <v>31</v>
      </c>
      <c r="M14" s="3" t="s">
        <v>31</v>
      </c>
      <c r="N14" s="4">
        <v>0.88677879020352102</v>
      </c>
      <c r="O14" s="4">
        <v>0.23232180701235799</v>
      </c>
      <c r="P14" s="4">
        <v>0.94769861349936002</v>
      </c>
      <c r="Q14" s="5">
        <v>0.5292</v>
      </c>
      <c r="V14" s="8">
        <v>8.6243675760395905E-2</v>
      </c>
      <c r="W14" s="8">
        <v>0.12936551364059301</v>
      </c>
      <c r="X14" s="8" t="e">
        <v>#N/A</v>
      </c>
      <c r="Y14" s="8" t="e">
        <v>#N/A</v>
      </c>
      <c r="Z14" s="8" t="e">
        <v>#N/A</v>
      </c>
      <c r="AA14" s="8" t="e">
        <v>#N/A</v>
      </c>
      <c r="AB14" s="8" t="e">
        <v>#N/A</v>
      </c>
      <c r="AC14" s="8" t="e">
        <v>#N/A</v>
      </c>
      <c r="AD14" s="8" t="e">
        <v>#N/A</v>
      </c>
    </row>
    <row r="15" spans="1:30" x14ac:dyDescent="0.3">
      <c r="A15" s="2">
        <v>14</v>
      </c>
      <c r="B15" s="2" t="s">
        <v>39</v>
      </c>
      <c r="C15" s="2" t="s">
        <v>8</v>
      </c>
      <c r="D15" s="2" t="s">
        <v>10</v>
      </c>
      <c r="E15" s="3">
        <v>1</v>
      </c>
      <c r="F15" s="3" t="s">
        <v>29</v>
      </c>
      <c r="G15" s="3">
        <v>1</v>
      </c>
      <c r="H15" s="3">
        <v>0</v>
      </c>
      <c r="I15" s="3" t="s">
        <v>36</v>
      </c>
      <c r="J15" s="3">
        <v>1</v>
      </c>
      <c r="K15" s="3" t="s">
        <v>31</v>
      </c>
      <c r="L15" s="3" t="s">
        <v>31</v>
      </c>
      <c r="M15" s="3" t="s">
        <v>31</v>
      </c>
      <c r="N15" s="4">
        <v>0.88677879020352102</v>
      </c>
      <c r="O15" s="4">
        <v>0.23232180701235799</v>
      </c>
      <c r="P15" s="4">
        <v>0.94769861349936002</v>
      </c>
      <c r="Q15" s="5">
        <v>0.53569999999999995</v>
      </c>
      <c r="V15" s="8">
        <v>8.6243675760395905E-2</v>
      </c>
      <c r="W15" s="8">
        <v>0.12936551364059301</v>
      </c>
      <c r="X15" s="8" t="e">
        <v>#N/A</v>
      </c>
      <c r="Y15" s="8" t="e">
        <v>#N/A</v>
      </c>
      <c r="Z15" s="8" t="e">
        <v>#N/A</v>
      </c>
      <c r="AA15" s="8" t="e">
        <v>#N/A</v>
      </c>
      <c r="AB15" s="8" t="e">
        <v>#N/A</v>
      </c>
      <c r="AC15" s="8" t="e">
        <v>#N/A</v>
      </c>
      <c r="AD15" s="8" t="e">
        <v>#N/A</v>
      </c>
    </row>
    <row r="16" spans="1:30" x14ac:dyDescent="0.3">
      <c r="A16" s="2">
        <v>15</v>
      </c>
      <c r="B16" s="2" t="s">
        <v>40</v>
      </c>
      <c r="C16" s="2" t="s">
        <v>8</v>
      </c>
      <c r="D16" s="2" t="s">
        <v>10</v>
      </c>
      <c r="E16" s="3">
        <v>1</v>
      </c>
      <c r="F16" s="3" t="s">
        <v>29</v>
      </c>
      <c r="G16" s="3">
        <v>1</v>
      </c>
      <c r="H16" s="3">
        <v>0</v>
      </c>
      <c r="I16" s="3" t="s">
        <v>36</v>
      </c>
      <c r="J16" s="3">
        <v>1</v>
      </c>
      <c r="K16" s="3" t="s">
        <v>37</v>
      </c>
      <c r="L16" s="3" t="s">
        <v>37</v>
      </c>
      <c r="M16" s="3" t="s">
        <v>31</v>
      </c>
      <c r="N16" s="4">
        <v>0.88677879020352102</v>
      </c>
      <c r="O16" s="4">
        <v>0.23232180701235799</v>
      </c>
      <c r="P16" s="4">
        <v>0.94769861349936002</v>
      </c>
      <c r="Q16" s="5">
        <v>0.54169999999999996</v>
      </c>
      <c r="V16" s="8">
        <v>8.6243675760395905E-2</v>
      </c>
      <c r="W16" s="8">
        <v>0.12936551364059301</v>
      </c>
      <c r="X16" s="8" t="e">
        <v>#N/A</v>
      </c>
      <c r="Y16" s="8" t="e">
        <v>#N/A</v>
      </c>
      <c r="Z16" s="8" t="e">
        <v>#N/A</v>
      </c>
      <c r="AA16" s="8" t="e">
        <v>#N/A</v>
      </c>
      <c r="AB16" s="8" t="e">
        <v>#N/A</v>
      </c>
      <c r="AC16" s="8" t="e">
        <v>#N/A</v>
      </c>
      <c r="AD16" s="8" t="e">
        <v>#N/A</v>
      </c>
    </row>
    <row r="17" spans="1:30" x14ac:dyDescent="0.3">
      <c r="A17" s="2">
        <v>16</v>
      </c>
      <c r="B17" s="2" t="s">
        <v>41</v>
      </c>
      <c r="C17" s="2" t="s">
        <v>8</v>
      </c>
      <c r="D17" s="2" t="s">
        <v>10</v>
      </c>
      <c r="E17" s="3">
        <v>1</v>
      </c>
      <c r="F17" s="3" t="s">
        <v>29</v>
      </c>
      <c r="G17" s="3">
        <v>1</v>
      </c>
      <c r="H17" s="3">
        <v>0</v>
      </c>
      <c r="I17" s="3" t="s">
        <v>36</v>
      </c>
      <c r="J17" s="3">
        <v>1</v>
      </c>
      <c r="K17" s="3" t="s">
        <v>31</v>
      </c>
      <c r="L17" s="3" t="s">
        <v>37</v>
      </c>
      <c r="M17" s="3" t="s">
        <v>31</v>
      </c>
      <c r="N17" s="4">
        <v>0.88677879020352102</v>
      </c>
      <c r="O17" s="4">
        <v>0.23232180701235799</v>
      </c>
      <c r="P17" s="4">
        <v>0.94769861349936002</v>
      </c>
      <c r="Q17" s="5">
        <v>0.57640000000000002</v>
      </c>
      <c r="V17" s="8">
        <v>8.6243675760395905E-2</v>
      </c>
      <c r="W17" s="8">
        <v>0.12936551364059301</v>
      </c>
      <c r="X17" s="8" t="e">
        <v>#N/A</v>
      </c>
      <c r="Y17" s="8" t="e">
        <v>#N/A</v>
      </c>
      <c r="Z17" s="8" t="e">
        <v>#N/A</v>
      </c>
      <c r="AA17" s="8" t="e">
        <v>#N/A</v>
      </c>
      <c r="AB17" s="8" t="e">
        <v>#N/A</v>
      </c>
      <c r="AC17" s="8" t="e">
        <v>#N/A</v>
      </c>
      <c r="AD17" s="8" t="e">
        <v>#N/A</v>
      </c>
    </row>
    <row r="18" spans="1:30" x14ac:dyDescent="0.3">
      <c r="A18" s="2">
        <v>17</v>
      </c>
      <c r="B18" s="2" t="s">
        <v>42</v>
      </c>
      <c r="C18" s="2" t="s">
        <v>8</v>
      </c>
      <c r="D18" s="2" t="s">
        <v>10</v>
      </c>
      <c r="E18" s="3">
        <v>1</v>
      </c>
      <c r="F18" s="3" t="s">
        <v>29</v>
      </c>
      <c r="G18" s="3">
        <v>1</v>
      </c>
      <c r="H18" s="3">
        <v>0</v>
      </c>
      <c r="I18" s="3" t="s">
        <v>36</v>
      </c>
      <c r="J18" s="3">
        <v>1</v>
      </c>
      <c r="K18" s="3" t="s">
        <v>37</v>
      </c>
      <c r="L18" s="3" t="s">
        <v>31</v>
      </c>
      <c r="M18" s="3" t="s">
        <v>30</v>
      </c>
      <c r="N18" s="4">
        <v>0.88677879020352102</v>
      </c>
      <c r="O18" s="4">
        <v>0.23232180701235799</v>
      </c>
      <c r="P18" s="4">
        <v>0.94769861349936002</v>
      </c>
      <c r="Q18" s="5">
        <v>0.58020000000000005</v>
      </c>
      <c r="V18" s="8">
        <v>8.6243675760395905E-2</v>
      </c>
      <c r="W18" s="8">
        <v>0.12936551364059301</v>
      </c>
      <c r="X18" s="8" t="e">
        <v>#N/A</v>
      </c>
      <c r="Y18" s="8" t="e">
        <v>#N/A</v>
      </c>
      <c r="Z18" s="8" t="e">
        <v>#N/A</v>
      </c>
      <c r="AA18" s="8" t="e">
        <v>#N/A</v>
      </c>
      <c r="AB18" s="8" t="e">
        <v>#N/A</v>
      </c>
      <c r="AC18" s="8" t="e">
        <v>#N/A</v>
      </c>
      <c r="AD18" s="8" t="e">
        <v>#N/A</v>
      </c>
    </row>
    <row r="19" spans="1:30" x14ac:dyDescent="0.3">
      <c r="A19" s="2">
        <v>18</v>
      </c>
      <c r="B19" s="2" t="s">
        <v>43</v>
      </c>
      <c r="C19" s="2" t="s">
        <v>8</v>
      </c>
      <c r="D19" s="2" t="s">
        <v>10</v>
      </c>
      <c r="E19" s="3">
        <v>1</v>
      </c>
      <c r="F19" s="3" t="s">
        <v>29</v>
      </c>
      <c r="G19" s="3">
        <v>1</v>
      </c>
      <c r="H19" s="3">
        <v>0</v>
      </c>
      <c r="I19" s="3" t="s">
        <v>36</v>
      </c>
      <c r="J19" s="3">
        <v>1</v>
      </c>
      <c r="K19" s="3" t="s">
        <v>32</v>
      </c>
      <c r="L19" s="3" t="s">
        <v>37</v>
      </c>
      <c r="M19" s="3" t="s">
        <v>31</v>
      </c>
      <c r="N19" s="4">
        <v>0.88677879020352102</v>
      </c>
      <c r="O19" s="4">
        <v>0.23232180701235799</v>
      </c>
      <c r="P19" s="4">
        <v>0.94769861349936002</v>
      </c>
      <c r="Q19" s="5">
        <v>0.53659999999999997</v>
      </c>
      <c r="V19" s="8">
        <v>8.6243675760395905E-2</v>
      </c>
      <c r="W19" s="8">
        <v>0.12936551364059301</v>
      </c>
      <c r="X19" s="8" t="e">
        <v>#N/A</v>
      </c>
      <c r="Y19" s="8" t="e">
        <v>#N/A</v>
      </c>
      <c r="Z19" s="8" t="e">
        <v>#N/A</v>
      </c>
      <c r="AA19" s="8" t="e">
        <v>#N/A</v>
      </c>
      <c r="AB19" s="8" t="e">
        <v>#N/A</v>
      </c>
      <c r="AC19" s="8" t="e">
        <v>#N/A</v>
      </c>
      <c r="AD19" s="8" t="e">
        <v>#N/A</v>
      </c>
    </row>
    <row r="20" spans="1:30" x14ac:dyDescent="0.3">
      <c r="A20" s="2">
        <v>19</v>
      </c>
      <c r="B20" s="2" t="s">
        <v>44</v>
      </c>
      <c r="C20" s="2" t="s">
        <v>8</v>
      </c>
      <c r="D20" s="2" t="s">
        <v>10</v>
      </c>
      <c r="E20" s="3">
        <v>1</v>
      </c>
      <c r="F20" s="3" t="s">
        <v>29</v>
      </c>
      <c r="G20" s="3">
        <v>1</v>
      </c>
      <c r="H20" s="3">
        <v>0</v>
      </c>
      <c r="I20" s="3" t="s">
        <v>34</v>
      </c>
      <c r="J20" s="3">
        <v>1</v>
      </c>
      <c r="K20" s="3" t="s">
        <v>32</v>
      </c>
      <c r="L20" s="3" t="s">
        <v>31</v>
      </c>
      <c r="M20" s="3" t="s">
        <v>31</v>
      </c>
      <c r="N20" s="4">
        <v>0.87705202821837502</v>
      </c>
      <c r="O20" s="4">
        <v>0.23281584848859499</v>
      </c>
      <c r="P20" s="4">
        <v>0.88232080967828197</v>
      </c>
      <c r="Q20" s="5">
        <v>0.57269999999999999</v>
      </c>
      <c r="V20" s="8">
        <v>8.6243675760395905E-2</v>
      </c>
      <c r="W20" s="8">
        <v>0.12936551364059301</v>
      </c>
      <c r="X20" s="8" t="e">
        <v>#N/A</v>
      </c>
      <c r="Y20" s="8" t="e">
        <v>#N/A</v>
      </c>
      <c r="Z20" s="8" t="e">
        <v>#N/A</v>
      </c>
      <c r="AA20" s="8" t="e">
        <v>#N/A</v>
      </c>
      <c r="AB20" s="8" t="e">
        <v>#N/A</v>
      </c>
      <c r="AC20" s="8" t="e">
        <v>#N/A</v>
      </c>
      <c r="AD20" s="8" t="e">
        <v>#N/A</v>
      </c>
    </row>
    <row r="21" spans="1:30" x14ac:dyDescent="0.3">
      <c r="A21" s="2">
        <v>20</v>
      </c>
      <c r="B21" s="2" t="s">
        <v>45</v>
      </c>
      <c r="C21" s="2" t="s">
        <v>8</v>
      </c>
      <c r="D21" s="2" t="s">
        <v>10</v>
      </c>
      <c r="E21" s="3">
        <v>1</v>
      </c>
      <c r="F21" s="3" t="s">
        <v>29</v>
      </c>
      <c r="G21" s="3">
        <v>1</v>
      </c>
      <c r="H21" s="3">
        <v>0</v>
      </c>
      <c r="I21" s="3" t="s">
        <v>34</v>
      </c>
      <c r="J21" s="3">
        <v>1</v>
      </c>
      <c r="K21" s="3" t="s">
        <v>32</v>
      </c>
      <c r="L21" s="3" t="s">
        <v>37</v>
      </c>
      <c r="M21" s="3" t="s">
        <v>30</v>
      </c>
      <c r="N21" s="4">
        <v>0.87705202821837502</v>
      </c>
      <c r="O21" s="4">
        <v>0.23281584848859499</v>
      </c>
      <c r="P21" s="4">
        <v>0.88232080967828197</v>
      </c>
      <c r="Q21" s="5">
        <v>0.54910000000000003</v>
      </c>
      <c r="V21" s="8">
        <v>8.6243675760395905E-2</v>
      </c>
      <c r="W21" s="8">
        <v>0.12936551364059301</v>
      </c>
      <c r="X21" s="8" t="e">
        <v>#N/A</v>
      </c>
      <c r="Y21" s="8" t="e">
        <v>#N/A</v>
      </c>
      <c r="Z21" s="8" t="e">
        <v>#N/A</v>
      </c>
      <c r="AA21" s="8" t="e">
        <v>#N/A</v>
      </c>
      <c r="AB21" s="8" t="e">
        <v>#N/A</v>
      </c>
      <c r="AC21" s="8" t="e">
        <v>#N/A</v>
      </c>
      <c r="AD21" s="8" t="e">
        <v>#N/A</v>
      </c>
    </row>
    <row r="22" spans="1:30" x14ac:dyDescent="0.3">
      <c r="A22" s="2">
        <v>21</v>
      </c>
      <c r="B22" s="2" t="s">
        <v>66</v>
      </c>
      <c r="C22" s="2" t="s">
        <v>9</v>
      </c>
      <c r="D22" s="2" t="s">
        <v>10</v>
      </c>
      <c r="E22" s="3">
        <v>1</v>
      </c>
      <c r="F22" s="3" t="s">
        <v>29</v>
      </c>
      <c r="G22" s="3">
        <v>1</v>
      </c>
      <c r="H22" s="3">
        <v>1</v>
      </c>
      <c r="I22" s="3" t="s">
        <v>36</v>
      </c>
      <c r="J22" s="3">
        <v>1</v>
      </c>
      <c r="K22" s="3" t="s">
        <v>31</v>
      </c>
      <c r="L22" s="3" t="s">
        <v>37</v>
      </c>
      <c r="M22" s="3" t="s">
        <v>31</v>
      </c>
      <c r="N22" s="4">
        <v>0.88680567455613701</v>
      </c>
      <c r="O22" s="4">
        <v>0.23238339794391299</v>
      </c>
      <c r="P22" s="4">
        <v>0.94790442179645096</v>
      </c>
      <c r="Q22" s="5">
        <v>0.58589999999999998</v>
      </c>
      <c r="V22" s="8">
        <v>8.6243675760395905E-2</v>
      </c>
      <c r="W22" s="8">
        <v>0.12936551364059301</v>
      </c>
      <c r="X22" s="8" t="e">
        <v>#N/A</v>
      </c>
      <c r="Y22" s="8" t="e">
        <v>#N/A</v>
      </c>
      <c r="Z22" s="8" t="e">
        <v>#N/A</v>
      </c>
      <c r="AA22" s="8" t="e">
        <v>#N/A</v>
      </c>
      <c r="AB22" s="8" t="e">
        <v>#N/A</v>
      </c>
      <c r="AC22" s="8" t="e">
        <v>#N/A</v>
      </c>
      <c r="AD22" s="8" t="e">
        <v>#N/A</v>
      </c>
    </row>
    <row r="23" spans="1:30" x14ac:dyDescent="0.3">
      <c r="A23" s="2">
        <v>22</v>
      </c>
      <c r="B23" s="2" t="s">
        <v>67</v>
      </c>
      <c r="C23" s="2" t="s">
        <v>9</v>
      </c>
      <c r="D23" s="2" t="s">
        <v>10</v>
      </c>
      <c r="E23" s="3">
        <v>1</v>
      </c>
      <c r="F23" s="3" t="s">
        <v>29</v>
      </c>
      <c r="G23" s="3">
        <v>3</v>
      </c>
      <c r="H23" s="3">
        <v>0</v>
      </c>
      <c r="I23" s="3" t="s">
        <v>36</v>
      </c>
      <c r="J23" s="3">
        <v>1</v>
      </c>
      <c r="K23" s="3" t="s">
        <v>31</v>
      </c>
      <c r="L23" s="3" t="s">
        <v>37</v>
      </c>
      <c r="M23" s="3" t="s">
        <v>31</v>
      </c>
      <c r="N23" s="4">
        <v>0.88677879020352102</v>
      </c>
      <c r="O23" s="4">
        <v>0.23232180701235799</v>
      </c>
      <c r="P23" s="4">
        <v>0.94769861349936002</v>
      </c>
      <c r="Q23" s="5">
        <v>0.58979999999999999</v>
      </c>
      <c r="V23" s="8">
        <v>8.6243675760395905E-2</v>
      </c>
      <c r="W23" s="8">
        <v>0.12936551364059301</v>
      </c>
      <c r="X23" s="8" t="e">
        <v>#N/A</v>
      </c>
      <c r="Y23" s="8" t="e">
        <v>#N/A</v>
      </c>
      <c r="Z23" s="8" t="e">
        <v>#N/A</v>
      </c>
      <c r="AA23" s="8" t="e">
        <v>#N/A</v>
      </c>
      <c r="AB23" s="8" t="e">
        <v>#N/A</v>
      </c>
      <c r="AC23" s="8" t="e">
        <v>#N/A</v>
      </c>
      <c r="AD23" s="8" t="e">
        <v>#N/A</v>
      </c>
    </row>
    <row r="24" spans="1:30" x14ac:dyDescent="0.3">
      <c r="A24" s="2">
        <v>23</v>
      </c>
      <c r="B24" s="2" t="s">
        <v>68</v>
      </c>
      <c r="C24" s="2" t="s">
        <v>9</v>
      </c>
      <c r="D24" s="2" t="s">
        <v>10</v>
      </c>
      <c r="E24" s="3">
        <v>0</v>
      </c>
      <c r="F24" s="3" t="s">
        <v>63</v>
      </c>
      <c r="G24" s="3">
        <v>1</v>
      </c>
      <c r="H24" s="3">
        <v>1</v>
      </c>
      <c r="I24" s="3" t="s">
        <v>36</v>
      </c>
      <c r="J24" s="3">
        <v>1</v>
      </c>
      <c r="K24" s="3" t="s">
        <v>37</v>
      </c>
      <c r="L24" s="3" t="s">
        <v>37</v>
      </c>
      <c r="M24" s="3" t="s">
        <v>31</v>
      </c>
      <c r="N24" s="4"/>
      <c r="O24" s="4"/>
      <c r="P24" s="4"/>
      <c r="Q24" s="3"/>
      <c r="V24" s="8">
        <v>8.6243675760395905E-2</v>
      </c>
      <c r="W24" s="8">
        <v>0.12936551364059301</v>
      </c>
      <c r="X24" s="8" t="e">
        <v>#N/A</v>
      </c>
      <c r="Y24" s="8" t="e">
        <v>#N/A</v>
      </c>
      <c r="Z24" s="8" t="e">
        <v>#N/A</v>
      </c>
      <c r="AA24" s="8" t="e">
        <v>#N/A</v>
      </c>
      <c r="AB24" s="8" t="e">
        <v>#N/A</v>
      </c>
      <c r="AC24" s="8" t="e">
        <v>#N/A</v>
      </c>
      <c r="AD24" s="8" t="e">
        <v>#N/A</v>
      </c>
    </row>
    <row r="25" spans="1:30" x14ac:dyDescent="0.3">
      <c r="A25" s="2">
        <v>24</v>
      </c>
      <c r="B25" s="2" t="s">
        <v>69</v>
      </c>
      <c r="C25" s="2" t="s">
        <v>9</v>
      </c>
      <c r="D25" s="2" t="s">
        <v>10</v>
      </c>
      <c r="E25" s="3">
        <v>1</v>
      </c>
      <c r="F25" s="3" t="s">
        <v>47</v>
      </c>
      <c r="G25" s="3">
        <v>1</v>
      </c>
      <c r="H25" s="3">
        <v>1</v>
      </c>
      <c r="I25" s="3" t="s">
        <v>36</v>
      </c>
      <c r="J25" s="3">
        <v>1</v>
      </c>
      <c r="K25" s="3" t="s">
        <v>37</v>
      </c>
      <c r="L25" s="3" t="s">
        <v>37</v>
      </c>
      <c r="M25" s="3" t="s">
        <v>37</v>
      </c>
      <c r="N25" s="4">
        <v>0.88680567455613701</v>
      </c>
      <c r="O25" s="4">
        <v>0.23238339794391299</v>
      </c>
      <c r="P25" s="4">
        <v>0.94790442179645096</v>
      </c>
      <c r="Q25" s="5">
        <v>0.56440000000000001</v>
      </c>
      <c r="V25" s="8">
        <v>8.6243675760395905E-2</v>
      </c>
      <c r="W25" s="8">
        <v>0.12936551364059301</v>
      </c>
      <c r="X25" s="8" t="e">
        <v>#N/A</v>
      </c>
      <c r="Y25" s="8" t="e">
        <v>#N/A</v>
      </c>
      <c r="Z25" s="8" t="e">
        <v>#N/A</v>
      </c>
      <c r="AA25" s="8" t="e">
        <v>#N/A</v>
      </c>
      <c r="AB25" s="8" t="e">
        <v>#N/A</v>
      </c>
      <c r="AC25" s="8" t="e">
        <v>#N/A</v>
      </c>
      <c r="AD25" s="8" t="e">
        <v>#N/A</v>
      </c>
    </row>
    <row r="26" spans="1:30" x14ac:dyDescent="0.3">
      <c r="A26" s="2">
        <v>25</v>
      </c>
      <c r="B26" s="2" t="s">
        <v>70</v>
      </c>
      <c r="C26" s="2" t="s">
        <v>9</v>
      </c>
      <c r="D26" s="2" t="s">
        <v>10</v>
      </c>
      <c r="E26" s="3">
        <v>1</v>
      </c>
      <c r="F26" s="3" t="s">
        <v>29</v>
      </c>
      <c r="G26" s="3">
        <v>1</v>
      </c>
      <c r="H26" s="3">
        <v>0</v>
      </c>
      <c r="I26" s="3" t="s">
        <v>36</v>
      </c>
      <c r="J26" s="3">
        <v>1</v>
      </c>
      <c r="K26" s="3" t="s">
        <v>31</v>
      </c>
      <c r="L26" s="3" t="s">
        <v>37</v>
      </c>
      <c r="M26" s="3" t="s">
        <v>31</v>
      </c>
      <c r="N26" s="4">
        <v>0.88677879020352102</v>
      </c>
      <c r="O26" s="4">
        <v>0.23232180701235799</v>
      </c>
      <c r="P26" s="4">
        <v>0.94769861349936002</v>
      </c>
      <c r="Q26" s="5">
        <v>0.58940000000000003</v>
      </c>
      <c r="V26" s="8">
        <v>8.6243675760395905E-2</v>
      </c>
      <c r="W26" s="8">
        <v>0.12936551364059301</v>
      </c>
      <c r="X26" s="8" t="e">
        <v>#N/A</v>
      </c>
      <c r="Y26" s="8" t="e">
        <v>#N/A</v>
      </c>
      <c r="Z26" s="8" t="e">
        <v>#N/A</v>
      </c>
      <c r="AA26" s="8" t="e">
        <v>#N/A</v>
      </c>
      <c r="AB26" s="8" t="e">
        <v>#N/A</v>
      </c>
      <c r="AC26" s="8" t="e">
        <v>#N/A</v>
      </c>
      <c r="AD26" s="8" t="e">
        <v>#N/A</v>
      </c>
    </row>
    <row r="27" spans="1:30" x14ac:dyDescent="0.3">
      <c r="A27" s="2">
        <v>26</v>
      </c>
      <c r="B27" s="2" t="s">
        <v>71</v>
      </c>
      <c r="C27" s="2" t="s">
        <v>9</v>
      </c>
      <c r="D27" s="2" t="s">
        <v>10</v>
      </c>
      <c r="E27" s="3">
        <v>0</v>
      </c>
      <c r="F27" s="3" t="s">
        <v>64</v>
      </c>
      <c r="G27" s="3">
        <v>4</v>
      </c>
      <c r="H27" s="3">
        <v>0</v>
      </c>
      <c r="I27" s="3" t="s">
        <v>36</v>
      </c>
      <c r="J27" s="3">
        <v>1</v>
      </c>
      <c r="K27" s="3" t="s">
        <v>31</v>
      </c>
      <c r="L27" s="3" t="s">
        <v>37</v>
      </c>
      <c r="M27" s="3" t="s">
        <v>31</v>
      </c>
      <c r="N27" s="4"/>
      <c r="O27" s="4"/>
      <c r="P27" s="4"/>
      <c r="Q27" s="5">
        <v>0.74529999999999996</v>
      </c>
      <c r="V27" s="8">
        <v>8.6243675760395905E-2</v>
      </c>
      <c r="W27" s="8">
        <v>0.12936551364059301</v>
      </c>
      <c r="X27" s="8" t="e">
        <v>#N/A</v>
      </c>
      <c r="Y27" s="8" t="e">
        <v>#N/A</v>
      </c>
      <c r="Z27" s="8" t="e">
        <v>#N/A</v>
      </c>
      <c r="AA27" s="8" t="e">
        <v>#N/A</v>
      </c>
      <c r="AB27" s="8" t="e">
        <v>#N/A</v>
      </c>
      <c r="AC27" s="8" t="e">
        <v>#N/A</v>
      </c>
      <c r="AD27" s="8" t="e">
        <v>#N/A</v>
      </c>
    </row>
    <row r="28" spans="1:30" x14ac:dyDescent="0.3">
      <c r="A28" s="2">
        <v>27</v>
      </c>
      <c r="B28" s="2" t="s">
        <v>72</v>
      </c>
      <c r="C28" s="2" t="s">
        <v>9</v>
      </c>
      <c r="D28" s="2" t="s">
        <v>10</v>
      </c>
      <c r="E28" s="3">
        <v>1</v>
      </c>
      <c r="F28" s="3" t="s">
        <v>47</v>
      </c>
      <c r="G28" s="3">
        <v>1</v>
      </c>
      <c r="H28" s="3">
        <v>1</v>
      </c>
      <c r="I28" s="3" t="s">
        <v>36</v>
      </c>
      <c r="J28" s="3">
        <v>1</v>
      </c>
      <c r="K28" s="3" t="s">
        <v>31</v>
      </c>
      <c r="L28" s="3" t="s">
        <v>37</v>
      </c>
      <c r="M28" s="3" t="s">
        <v>37</v>
      </c>
      <c r="N28" s="4">
        <v>0.86709999999999998</v>
      </c>
      <c r="O28" s="4">
        <v>9.8999997764019507E-2</v>
      </c>
      <c r="P28" s="4">
        <v>0.30795911186466102</v>
      </c>
      <c r="Q28" s="5">
        <v>0.5766</v>
      </c>
      <c r="V28" s="8">
        <v>8.6243675760395905E-2</v>
      </c>
      <c r="W28" s="8">
        <v>0.12936551364059301</v>
      </c>
      <c r="X28" s="8" t="e">
        <v>#N/A</v>
      </c>
      <c r="Y28" s="8" t="e">
        <v>#N/A</v>
      </c>
      <c r="Z28" s="8" t="e">
        <v>#N/A</v>
      </c>
      <c r="AA28" s="8" t="e">
        <v>#N/A</v>
      </c>
      <c r="AB28" s="8" t="e">
        <v>#N/A</v>
      </c>
      <c r="AC28" s="8" t="e">
        <v>#N/A</v>
      </c>
      <c r="AD28" s="8" t="e">
        <v>#N/A</v>
      </c>
    </row>
    <row r="29" spans="1:30" x14ac:dyDescent="0.3">
      <c r="A29" s="2">
        <v>28</v>
      </c>
      <c r="B29" s="2" t="s">
        <v>73</v>
      </c>
      <c r="C29" s="2" t="s">
        <v>9</v>
      </c>
      <c r="D29" s="2" t="s">
        <v>10</v>
      </c>
      <c r="E29" s="3">
        <v>1</v>
      </c>
      <c r="F29" s="3" t="s">
        <v>29</v>
      </c>
      <c r="G29" s="3">
        <v>1</v>
      </c>
      <c r="H29" s="3">
        <v>1</v>
      </c>
      <c r="I29" s="3" t="s">
        <v>36</v>
      </c>
      <c r="J29" s="3">
        <v>1</v>
      </c>
      <c r="K29" s="3" t="s">
        <v>31</v>
      </c>
      <c r="L29" s="3" t="s">
        <v>37</v>
      </c>
      <c r="M29" s="3" t="s">
        <v>31</v>
      </c>
      <c r="N29" s="4">
        <v>0.74875459100056696</v>
      </c>
      <c r="O29" s="4">
        <v>0.17113047540317</v>
      </c>
      <c r="P29" s="4">
        <v>0.75476054142080395</v>
      </c>
      <c r="Q29" s="5">
        <v>0.56269999999999998</v>
      </c>
      <c r="V29" s="8">
        <v>8.6243675760395905E-2</v>
      </c>
      <c r="W29" s="8">
        <v>0.12936551364059301</v>
      </c>
      <c r="X29" s="8" t="e">
        <v>#N/A</v>
      </c>
      <c r="Y29" s="8" t="e">
        <v>#N/A</v>
      </c>
      <c r="Z29" s="8" t="e">
        <v>#N/A</v>
      </c>
      <c r="AA29" s="8" t="e">
        <v>#N/A</v>
      </c>
      <c r="AB29" s="8" t="e">
        <v>#N/A</v>
      </c>
      <c r="AC29" s="8" t="e">
        <v>#N/A</v>
      </c>
      <c r="AD29" s="8" t="e">
        <v>#N/A</v>
      </c>
    </row>
    <row r="30" spans="1:30" x14ac:dyDescent="0.3">
      <c r="A30" s="2">
        <v>29</v>
      </c>
      <c r="B30" s="2" t="s">
        <v>74</v>
      </c>
      <c r="C30" s="2" t="s">
        <v>9</v>
      </c>
      <c r="D30" s="2" t="s">
        <v>10</v>
      </c>
      <c r="E30" s="3">
        <v>1</v>
      </c>
      <c r="F30" s="3" t="s">
        <v>29</v>
      </c>
      <c r="G30" s="3">
        <v>2</v>
      </c>
      <c r="H30" s="3">
        <v>0</v>
      </c>
      <c r="I30" s="3" t="s">
        <v>36</v>
      </c>
      <c r="J30" s="3">
        <v>1</v>
      </c>
      <c r="K30" s="3" t="s">
        <v>37</v>
      </c>
      <c r="L30" s="3" t="s">
        <v>37</v>
      </c>
      <c r="M30" s="3" t="s">
        <v>31</v>
      </c>
      <c r="N30" s="4">
        <v>0.88677879020352102</v>
      </c>
      <c r="O30" s="4">
        <v>0.23232180701235799</v>
      </c>
      <c r="P30" s="4">
        <v>0.94769861349936002</v>
      </c>
      <c r="Q30" s="5">
        <v>0.61670000000000003</v>
      </c>
      <c r="V30" s="8">
        <v>8.6243675760395905E-2</v>
      </c>
      <c r="W30" s="8">
        <v>0.12936551364059301</v>
      </c>
      <c r="X30" s="8" t="e">
        <v>#N/A</v>
      </c>
      <c r="Y30" s="8" t="e">
        <v>#N/A</v>
      </c>
      <c r="Z30" s="8" t="e">
        <v>#N/A</v>
      </c>
      <c r="AA30" s="8" t="e">
        <v>#N/A</v>
      </c>
      <c r="AB30" s="8" t="e">
        <v>#N/A</v>
      </c>
      <c r="AC30" s="8" t="e">
        <v>#N/A</v>
      </c>
      <c r="AD30" s="8" t="e">
        <v>#N/A</v>
      </c>
    </row>
    <row r="31" spans="1:30" x14ac:dyDescent="0.3">
      <c r="A31" s="2">
        <v>30</v>
      </c>
      <c r="B31" s="2" t="s">
        <v>75</v>
      </c>
      <c r="C31" s="2" t="s">
        <v>9</v>
      </c>
      <c r="D31" s="2" t="s">
        <v>10</v>
      </c>
      <c r="E31" s="3">
        <v>1</v>
      </c>
      <c r="F31" s="3" t="s">
        <v>29</v>
      </c>
      <c r="G31" s="3">
        <v>1</v>
      </c>
      <c r="H31" s="3">
        <v>0</v>
      </c>
      <c r="I31" s="3" t="s">
        <v>36</v>
      </c>
      <c r="J31" s="3">
        <v>1</v>
      </c>
      <c r="K31" s="3" t="s">
        <v>31</v>
      </c>
      <c r="L31" s="3" t="s">
        <v>37</v>
      </c>
      <c r="M31" s="3" t="s">
        <v>31</v>
      </c>
      <c r="N31" s="4">
        <v>0.88677879020352102</v>
      </c>
      <c r="O31" s="4">
        <v>0.23232180701235799</v>
      </c>
      <c r="P31" s="4">
        <v>0.94769861349936002</v>
      </c>
      <c r="Q31" s="5">
        <v>0.58020000000000005</v>
      </c>
      <c r="V31" s="8">
        <v>8.6243675760395905E-2</v>
      </c>
      <c r="W31" s="8">
        <v>0.12936551364059301</v>
      </c>
      <c r="X31" s="8" t="e">
        <v>#N/A</v>
      </c>
      <c r="Y31" s="8" t="e">
        <v>#N/A</v>
      </c>
      <c r="Z31" s="8" t="e">
        <v>#N/A</v>
      </c>
      <c r="AA31" s="8" t="e">
        <v>#N/A</v>
      </c>
      <c r="AB31" s="8" t="e">
        <v>#N/A</v>
      </c>
      <c r="AC31" s="8" t="e">
        <v>#N/A</v>
      </c>
      <c r="AD31" s="8" t="e">
        <v>#N/A</v>
      </c>
    </row>
    <row r="32" spans="1:30" x14ac:dyDescent="0.3">
      <c r="N32" s="4"/>
      <c r="O32" s="4"/>
      <c r="P32" s="4"/>
      <c r="Q32" s="5"/>
    </row>
    <row r="33" spans="14:17" x14ac:dyDescent="0.3">
      <c r="N33" s="4"/>
      <c r="O33" s="4"/>
      <c r="P33" s="4"/>
      <c r="Q33" s="5"/>
    </row>
    <row r="34" spans="14:17" x14ac:dyDescent="0.3">
      <c r="N34" s="4"/>
      <c r="O34" s="4"/>
      <c r="P34" s="4"/>
    </row>
    <row r="35" spans="14:17" x14ac:dyDescent="0.3">
      <c r="N35" s="4"/>
      <c r="O35" s="4"/>
      <c r="P35" s="4"/>
    </row>
    <row r="36" spans="14:17" x14ac:dyDescent="0.3">
      <c r="N36" s="4"/>
      <c r="O36" s="4"/>
      <c r="P36" s="4"/>
    </row>
    <row r="37" spans="14:17" x14ac:dyDescent="0.3">
      <c r="N37" s="4"/>
      <c r="O37" s="4"/>
      <c r="P37" s="4"/>
    </row>
    <row r="38" spans="14:17" x14ac:dyDescent="0.3">
      <c r="N38" s="4"/>
      <c r="O38" s="4"/>
      <c r="P38" s="4"/>
    </row>
    <row r="39" spans="14:17" x14ac:dyDescent="0.3">
      <c r="N39" s="4"/>
      <c r="O39" s="4"/>
      <c r="P39" s="4"/>
    </row>
    <row r="40" spans="14:17" x14ac:dyDescent="0.3">
      <c r="N40" s="4"/>
      <c r="O40" s="4"/>
      <c r="P40" s="4"/>
    </row>
    <row r="41" spans="14:17" x14ac:dyDescent="0.3">
      <c r="N41" s="4"/>
      <c r="O41" s="4"/>
      <c r="P41" s="4"/>
    </row>
    <row r="42" spans="14:17" x14ac:dyDescent="0.3">
      <c r="N42" s="4"/>
      <c r="O42" s="4"/>
      <c r="P42" s="4"/>
    </row>
    <row r="43" spans="14:17" x14ac:dyDescent="0.3">
      <c r="N43" s="4"/>
      <c r="O43" s="4"/>
      <c r="P43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5777-90FC-44FD-BED4-7B2F7B5E42B4}">
  <dimension ref="A1:AD73"/>
  <sheetViews>
    <sheetView workbookViewId="0">
      <pane xSplit="4" ySplit="1" topLeftCell="R30" activePane="bottomRight" state="frozen"/>
      <selection pane="topRight" activeCell="E1" sqref="E1"/>
      <selection pane="bottomLeft" activeCell="A2" sqref="A2"/>
      <selection pane="bottomRight" activeCell="W1" sqref="W1"/>
    </sheetView>
  </sheetViews>
  <sheetFormatPr defaultRowHeight="14.4" x14ac:dyDescent="0.3"/>
  <cols>
    <col min="2" max="2" width="15.88671875" bestFit="1" customWidth="1"/>
    <col min="3" max="3" width="12.33203125" bestFit="1" customWidth="1"/>
    <col min="5" max="5" width="16" bestFit="1" customWidth="1"/>
    <col min="6" max="6" width="17.44140625" bestFit="1" customWidth="1"/>
    <col min="7" max="7" width="9" bestFit="1" customWidth="1"/>
    <col min="8" max="8" width="23.77734375" bestFit="1" customWidth="1"/>
    <col min="9" max="9" width="12.44140625" bestFit="1" customWidth="1"/>
    <col min="10" max="10" width="26.44140625" bestFit="1" customWidth="1"/>
    <col min="11" max="11" width="16.5546875" bestFit="1" customWidth="1"/>
    <col min="12" max="12" width="16.109375" bestFit="1" customWidth="1"/>
    <col min="13" max="13" width="18.88671875" bestFit="1" customWidth="1"/>
    <col min="14" max="15" width="7.21875" bestFit="1" customWidth="1"/>
    <col min="16" max="16" width="15.88671875" bestFit="1" customWidth="1"/>
    <col min="17" max="17" width="14.77734375" bestFit="1" customWidth="1"/>
    <col min="18" max="18" width="15.77734375" style="6" customWidth="1"/>
    <col min="19" max="19" width="13.44140625" style="3" bestFit="1" customWidth="1"/>
    <col min="20" max="20" width="23.21875" style="3" bestFit="1" customWidth="1"/>
    <col min="21" max="21" width="20.77734375" style="3" bestFit="1" customWidth="1"/>
    <col min="22" max="30" width="8.88671875" style="8"/>
  </cols>
  <sheetData>
    <row r="1" spans="1:30" s="1" customFormat="1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17</v>
      </c>
      <c r="G1" s="1" t="s">
        <v>5</v>
      </c>
      <c r="H1" s="1" t="s">
        <v>6</v>
      </c>
      <c r="I1" s="1" t="s">
        <v>33</v>
      </c>
      <c r="J1" s="1" t="s">
        <v>7</v>
      </c>
      <c r="K1" s="1" t="s">
        <v>14</v>
      </c>
      <c r="L1" s="1" t="s">
        <v>15</v>
      </c>
      <c r="M1" s="1" t="s">
        <v>16</v>
      </c>
      <c r="N1" s="1" t="s">
        <v>11</v>
      </c>
      <c r="O1" s="1" t="s">
        <v>12</v>
      </c>
      <c r="P1" s="1" t="s">
        <v>13</v>
      </c>
      <c r="Q1" s="1" t="s">
        <v>28</v>
      </c>
      <c r="R1" s="9" t="s">
        <v>78</v>
      </c>
      <c r="S1" s="7" t="s">
        <v>79</v>
      </c>
      <c r="T1" s="7" t="s">
        <v>80</v>
      </c>
      <c r="U1" s="7" t="s">
        <v>81</v>
      </c>
      <c r="V1" s="16" t="s">
        <v>159</v>
      </c>
      <c r="W1" s="16" t="s">
        <v>160</v>
      </c>
      <c r="X1" s="16" t="s">
        <v>141</v>
      </c>
      <c r="Y1" s="16" t="s">
        <v>161</v>
      </c>
      <c r="Z1" s="16" t="s">
        <v>162</v>
      </c>
      <c r="AA1" s="16" t="s">
        <v>144</v>
      </c>
      <c r="AB1" s="16" t="s">
        <v>163</v>
      </c>
      <c r="AC1" s="16" t="s">
        <v>164</v>
      </c>
      <c r="AD1" s="16" t="s">
        <v>147</v>
      </c>
    </row>
    <row r="2" spans="1:30" x14ac:dyDescent="0.3">
      <c r="A2" s="2">
        <v>32</v>
      </c>
      <c r="B2" s="2" t="s">
        <v>83</v>
      </c>
      <c r="C2" s="2" t="s">
        <v>46</v>
      </c>
      <c r="D2" s="2" t="s">
        <v>18</v>
      </c>
      <c r="E2" s="3">
        <v>1</v>
      </c>
      <c r="F2" s="3" t="s">
        <v>29</v>
      </c>
      <c r="G2" s="3">
        <v>1</v>
      </c>
      <c r="H2" s="3">
        <v>1</v>
      </c>
      <c r="I2" s="3" t="s">
        <v>36</v>
      </c>
      <c r="J2" s="3">
        <v>0</v>
      </c>
      <c r="K2" s="3" t="s">
        <v>31</v>
      </c>
      <c r="L2" s="3" t="s">
        <v>37</v>
      </c>
      <c r="M2" s="3" t="s">
        <v>37</v>
      </c>
      <c r="N2" s="4">
        <v>0.86344734825851899</v>
      </c>
      <c r="O2" s="4">
        <v>0.23077709298066701</v>
      </c>
      <c r="P2" s="4">
        <v>0.93019627719618903</v>
      </c>
      <c r="Q2" s="5">
        <v>0.73109999999999997</v>
      </c>
      <c r="S2" s="3">
        <v>0</v>
      </c>
      <c r="T2" s="3" t="s">
        <v>47</v>
      </c>
      <c r="U2" s="3" t="s">
        <v>82</v>
      </c>
      <c r="V2" s="8">
        <v>9.4551284414900599E-2</v>
      </c>
      <c r="W2" s="8">
        <v>0.12936551364059301</v>
      </c>
      <c r="X2" s="8">
        <v>0</v>
      </c>
      <c r="Y2" s="8">
        <v>0</v>
      </c>
      <c r="Z2" s="8">
        <v>8.3076086545046494E-3</v>
      </c>
      <c r="AA2" s="8">
        <v>0</v>
      </c>
      <c r="AB2" s="8">
        <v>5.7500450206072901E-7</v>
      </c>
      <c r="AC2" s="8">
        <v>1.5720369322090801E-3</v>
      </c>
      <c r="AD2" s="8">
        <v>1.5726119367111407E-3</v>
      </c>
    </row>
    <row r="3" spans="1:30" x14ac:dyDescent="0.3">
      <c r="A3" s="2">
        <v>33</v>
      </c>
      <c r="B3" s="2" t="s">
        <v>86</v>
      </c>
      <c r="C3" s="2" t="s">
        <v>46</v>
      </c>
      <c r="D3" s="2" t="s">
        <v>19</v>
      </c>
      <c r="E3" s="3">
        <v>1</v>
      </c>
      <c r="F3" s="3" t="s">
        <v>47</v>
      </c>
      <c r="G3" s="3">
        <v>1</v>
      </c>
      <c r="H3" s="3">
        <v>1</v>
      </c>
      <c r="I3" s="3" t="s">
        <v>36</v>
      </c>
      <c r="J3" s="3">
        <v>0</v>
      </c>
      <c r="K3" s="3" t="s">
        <v>37</v>
      </c>
      <c r="L3" s="3" t="s">
        <v>30</v>
      </c>
      <c r="M3" s="3" t="s">
        <v>37</v>
      </c>
      <c r="N3" s="4">
        <v>0.89590872237894803</v>
      </c>
      <c r="O3" s="4">
        <v>0.235077198812011</v>
      </c>
      <c r="P3" s="4">
        <v>0.962914291171586</v>
      </c>
      <c r="Q3" s="5">
        <v>0.73040000000000005</v>
      </c>
      <c r="S3" s="3">
        <v>1</v>
      </c>
      <c r="T3" s="3" t="s">
        <v>82</v>
      </c>
      <c r="U3" s="3" t="s">
        <v>82</v>
      </c>
      <c r="V3" s="8">
        <v>0.12794186837125501</v>
      </c>
      <c r="W3" s="8">
        <v>0.12936551364059301</v>
      </c>
      <c r="X3" s="8">
        <v>0</v>
      </c>
      <c r="Y3" s="8">
        <v>0</v>
      </c>
      <c r="Z3" s="8">
        <v>4.16981926108594E-2</v>
      </c>
      <c r="AA3" s="8">
        <v>0</v>
      </c>
      <c r="AB3" s="8">
        <v>4.7057608851045097E-6</v>
      </c>
      <c r="AC3" s="8">
        <v>3.4749372777766398E-3</v>
      </c>
      <c r="AD3" s="8">
        <v>3.479643038661745E-3</v>
      </c>
    </row>
    <row r="4" spans="1:30" x14ac:dyDescent="0.3">
      <c r="A4" s="2">
        <v>34</v>
      </c>
      <c r="B4" s="2" t="s">
        <v>90</v>
      </c>
      <c r="C4" s="2" t="s">
        <v>46</v>
      </c>
      <c r="D4" s="2" t="s">
        <v>20</v>
      </c>
      <c r="E4" s="3">
        <v>1</v>
      </c>
      <c r="F4" s="3" t="s">
        <v>47</v>
      </c>
      <c r="G4" s="3">
        <v>1</v>
      </c>
      <c r="H4" s="3">
        <v>1</v>
      </c>
      <c r="I4" s="3" t="s">
        <v>36</v>
      </c>
      <c r="J4" s="3">
        <v>0</v>
      </c>
      <c r="K4" s="3" t="s">
        <v>37</v>
      </c>
      <c r="L4" s="3" t="s">
        <v>37</v>
      </c>
      <c r="M4" s="3" t="s">
        <v>37</v>
      </c>
      <c r="N4" s="4">
        <v>0.89590872237894803</v>
      </c>
      <c r="O4" s="4">
        <v>0.235077198812011</v>
      </c>
      <c r="P4" s="4">
        <v>0.962914291171586</v>
      </c>
      <c r="Q4" s="5">
        <v>0.71240000000000003</v>
      </c>
      <c r="S4" s="3">
        <v>1</v>
      </c>
      <c r="T4" s="3" t="s">
        <v>82</v>
      </c>
      <c r="U4" s="3" t="s">
        <v>82</v>
      </c>
      <c r="V4" s="8">
        <v>8.6243103606362295E-2</v>
      </c>
      <c r="W4" s="8">
        <v>0.12936465540954301</v>
      </c>
      <c r="X4" s="8">
        <v>2.9497959478653E-2</v>
      </c>
      <c r="Y4" s="8">
        <v>0</v>
      </c>
      <c r="Z4" s="8">
        <v>0</v>
      </c>
      <c r="AA4" s="8">
        <v>5.7371191508643298E-5</v>
      </c>
      <c r="AB4" s="8">
        <v>2.3506673511150899E-7</v>
      </c>
      <c r="AC4" s="8">
        <v>1.6521432140010901E-3</v>
      </c>
      <c r="AD4" s="8">
        <v>1.7097494722448439E-3</v>
      </c>
    </row>
    <row r="5" spans="1:30" x14ac:dyDescent="0.3">
      <c r="A5" s="2">
        <v>35</v>
      </c>
      <c r="B5" s="2" t="s">
        <v>93</v>
      </c>
      <c r="C5" s="2" t="s">
        <v>46</v>
      </c>
      <c r="D5" s="2" t="s">
        <v>21</v>
      </c>
      <c r="E5" s="3">
        <v>1</v>
      </c>
      <c r="F5" s="3" t="s">
        <v>47</v>
      </c>
      <c r="G5" s="3">
        <v>1</v>
      </c>
      <c r="H5" s="3">
        <v>1</v>
      </c>
      <c r="I5" s="3" t="s">
        <v>36</v>
      </c>
      <c r="J5" s="3">
        <v>0</v>
      </c>
      <c r="K5" s="3" t="s">
        <v>37</v>
      </c>
      <c r="L5" s="3" t="s">
        <v>37</v>
      </c>
      <c r="M5" s="3" t="s">
        <v>37</v>
      </c>
      <c r="N5" s="4">
        <v>0.87392315034929502</v>
      </c>
      <c r="O5" s="4">
        <v>0.23178006002512999</v>
      </c>
      <c r="P5" s="4">
        <v>0.93376729370840295</v>
      </c>
      <c r="Q5" s="5">
        <v>0.72409999999999997</v>
      </c>
      <c r="S5" s="3">
        <v>1</v>
      </c>
      <c r="T5" s="3" t="s">
        <v>82</v>
      </c>
      <c r="U5" s="3" t="s">
        <v>82</v>
      </c>
      <c r="V5" s="8">
        <v>8.6246762616065703E-2</v>
      </c>
      <c r="W5" s="8">
        <v>0.12937014392409801</v>
      </c>
      <c r="X5" s="8">
        <v>0.14748979739326501</v>
      </c>
      <c r="Y5" s="8">
        <v>0</v>
      </c>
      <c r="Z5" s="8">
        <v>0</v>
      </c>
      <c r="AA5" s="8">
        <v>8.1184453891828298E-4</v>
      </c>
      <c r="AB5" s="8">
        <v>1.68951734016898E-6</v>
      </c>
      <c r="AC5" s="8">
        <v>4.7099606882422297E-3</v>
      </c>
      <c r="AD5" s="8">
        <v>5.5234947445006732E-3</v>
      </c>
    </row>
    <row r="6" spans="1:30" x14ac:dyDescent="0.3">
      <c r="A6" s="2">
        <v>36</v>
      </c>
      <c r="B6" s="2" t="s">
        <v>156</v>
      </c>
      <c r="C6" s="2" t="s">
        <v>46</v>
      </c>
      <c r="D6" s="2" t="s">
        <v>22</v>
      </c>
      <c r="E6" s="3">
        <v>1</v>
      </c>
      <c r="F6" s="3" t="s">
        <v>47</v>
      </c>
      <c r="G6" s="3">
        <v>1</v>
      </c>
      <c r="H6" s="3">
        <v>1</v>
      </c>
      <c r="I6" s="3" t="s">
        <v>36</v>
      </c>
      <c r="J6" s="3">
        <v>0</v>
      </c>
      <c r="K6" s="3" t="s">
        <v>37</v>
      </c>
      <c r="L6" s="3" t="s">
        <v>37</v>
      </c>
      <c r="M6" s="3" t="s">
        <v>37</v>
      </c>
      <c r="N6" s="4">
        <v>0.88723577826508404</v>
      </c>
      <c r="O6" s="4">
        <v>0.232012509131584</v>
      </c>
      <c r="P6" s="4">
        <v>0.95377974265973198</v>
      </c>
      <c r="Q6" s="5">
        <v>0.72989999999999999</v>
      </c>
      <c r="S6" s="3">
        <v>0</v>
      </c>
      <c r="T6" s="3" t="s">
        <v>82</v>
      </c>
      <c r="U6" s="3" t="s">
        <v>82</v>
      </c>
      <c r="V6" s="8">
        <v>8.6342270455259398E-2</v>
      </c>
      <c r="W6" s="8">
        <v>0.13568071071540699</v>
      </c>
      <c r="X6" s="8">
        <v>0</v>
      </c>
      <c r="Y6" s="8">
        <v>8.3333333333333301E-2</v>
      </c>
      <c r="Z6" s="8">
        <v>0</v>
      </c>
      <c r="AA6" s="8">
        <v>0</v>
      </c>
      <c r="AB6" s="8">
        <v>0</v>
      </c>
      <c r="AC6" s="8">
        <v>0</v>
      </c>
      <c r="AD6" s="8">
        <v>0</v>
      </c>
    </row>
    <row r="7" spans="1:30" x14ac:dyDescent="0.3">
      <c r="A7" s="2">
        <v>37</v>
      </c>
      <c r="B7" s="2" t="s">
        <v>169</v>
      </c>
      <c r="C7" s="2" t="s">
        <v>46</v>
      </c>
      <c r="D7" s="2" t="s">
        <v>23</v>
      </c>
      <c r="E7" s="3">
        <v>1</v>
      </c>
      <c r="F7" s="3" t="s">
        <v>47</v>
      </c>
      <c r="G7" s="3">
        <v>1</v>
      </c>
      <c r="H7" s="3">
        <v>0</v>
      </c>
      <c r="I7" s="3" t="s">
        <v>36</v>
      </c>
      <c r="J7" s="3">
        <v>0</v>
      </c>
      <c r="K7" s="11" t="s">
        <v>31</v>
      </c>
      <c r="L7" s="11" t="s">
        <v>37</v>
      </c>
      <c r="M7" s="11" t="s">
        <v>37</v>
      </c>
      <c r="N7" s="4">
        <v>0.88757292934031295</v>
      </c>
      <c r="O7" s="4">
        <v>0.230817890140116</v>
      </c>
      <c r="P7" s="4">
        <v>0.96025267124899305</v>
      </c>
      <c r="Q7" s="5">
        <v>0.76490000000000002</v>
      </c>
      <c r="S7" s="3">
        <v>0</v>
      </c>
      <c r="T7" s="3" t="s">
        <v>82</v>
      </c>
      <c r="U7" s="3" t="s">
        <v>82</v>
      </c>
      <c r="V7" s="8">
        <v>9.4976497500785295E-2</v>
      </c>
      <c r="W7" s="8">
        <v>0.13568071071540699</v>
      </c>
      <c r="X7" s="8">
        <v>0</v>
      </c>
      <c r="Y7" s="8">
        <f>1/6</f>
        <v>0.16666666666666666</v>
      </c>
      <c r="Z7" s="8">
        <v>0</v>
      </c>
      <c r="AA7" s="8">
        <v>0</v>
      </c>
      <c r="AB7" s="8">
        <v>0</v>
      </c>
      <c r="AC7" s="8">
        <v>0</v>
      </c>
      <c r="AD7" s="8">
        <v>0</v>
      </c>
    </row>
    <row r="8" spans="1:30" x14ac:dyDescent="0.3">
      <c r="A8" s="2">
        <v>38</v>
      </c>
      <c r="B8" s="2" t="s">
        <v>133</v>
      </c>
      <c r="C8" s="2" t="s">
        <v>46</v>
      </c>
      <c r="D8" s="2" t="s">
        <v>24</v>
      </c>
      <c r="E8" s="3">
        <v>1</v>
      </c>
      <c r="F8" s="3" t="s">
        <v>47</v>
      </c>
      <c r="G8" s="3">
        <v>1</v>
      </c>
      <c r="H8" s="3">
        <v>1</v>
      </c>
      <c r="I8" s="3" t="s">
        <v>36</v>
      </c>
      <c r="J8" s="3">
        <v>0</v>
      </c>
      <c r="K8" s="3" t="s">
        <v>37</v>
      </c>
      <c r="L8" s="3" t="s">
        <v>37</v>
      </c>
      <c r="M8" s="3" t="s">
        <v>37</v>
      </c>
      <c r="N8" s="4">
        <v>0.87500552273278698</v>
      </c>
      <c r="O8" s="4">
        <v>0.23047440956147899</v>
      </c>
      <c r="P8" s="4">
        <v>0.93196101626586902</v>
      </c>
      <c r="Q8" s="5">
        <v>0.72389999999999999</v>
      </c>
      <c r="S8" s="3">
        <v>1</v>
      </c>
      <c r="T8" s="3" t="s">
        <v>47</v>
      </c>
      <c r="U8" s="3" t="s">
        <v>82</v>
      </c>
      <c r="V8" s="8">
        <v>8.6255155709569306E-2</v>
      </c>
      <c r="W8" s="8">
        <v>0.12938273356435401</v>
      </c>
      <c r="X8" s="8">
        <v>4.9999041316316897E-2</v>
      </c>
      <c r="Y8" s="8">
        <v>0</v>
      </c>
      <c r="Z8" s="8">
        <v>0</v>
      </c>
      <c r="AA8" s="8">
        <v>1.40780488266386E-4</v>
      </c>
      <c r="AB8" s="8">
        <v>3.2765665492461603E-7</v>
      </c>
      <c r="AC8" s="8">
        <v>1.76219545721219E-3</v>
      </c>
      <c r="AD8" s="8">
        <v>1.9033036021335048E-3</v>
      </c>
    </row>
    <row r="9" spans="1:30" x14ac:dyDescent="0.3">
      <c r="A9" s="2">
        <v>39</v>
      </c>
      <c r="B9" s="2" t="s">
        <v>153</v>
      </c>
      <c r="C9" s="2" t="s">
        <v>46</v>
      </c>
      <c r="D9" s="2" t="s">
        <v>25</v>
      </c>
      <c r="E9" s="3">
        <v>1</v>
      </c>
      <c r="F9" s="3" t="s">
        <v>29</v>
      </c>
      <c r="G9" s="3">
        <v>1</v>
      </c>
      <c r="H9" s="3">
        <v>1</v>
      </c>
      <c r="I9" s="3" t="s">
        <v>36</v>
      </c>
      <c r="J9" s="3">
        <v>0</v>
      </c>
      <c r="K9" s="3" t="s">
        <v>37</v>
      </c>
      <c r="L9" s="3" t="s">
        <v>37</v>
      </c>
      <c r="M9" s="3" t="s">
        <v>31</v>
      </c>
      <c r="N9" s="4">
        <v>0.885435097056258</v>
      </c>
      <c r="O9" s="4">
        <v>0.233891077430257</v>
      </c>
      <c r="P9" s="4">
        <v>0.952169144934639</v>
      </c>
      <c r="Q9" s="5">
        <v>0.72699999999999998</v>
      </c>
      <c r="S9" s="3">
        <v>1</v>
      </c>
      <c r="T9" s="3" t="s">
        <v>82</v>
      </c>
      <c r="U9" s="3" t="s">
        <v>82</v>
      </c>
      <c r="V9" s="8">
        <v>8.6238784872497906E-2</v>
      </c>
      <c r="W9" s="8">
        <v>0.12935817730874599</v>
      </c>
      <c r="X9" s="8">
        <v>0.24999963127550601</v>
      </c>
      <c r="Y9" s="8">
        <v>0</v>
      </c>
      <c r="Z9" s="8">
        <v>0</v>
      </c>
      <c r="AA9" s="8">
        <v>3.71066804932259E-4</v>
      </c>
      <c r="AB9" s="8">
        <v>1.1297334765497799E-6</v>
      </c>
      <c r="AC9" s="8">
        <v>3.4529397672654698E-3</v>
      </c>
      <c r="AD9" s="8">
        <v>3.8251363056742704E-3</v>
      </c>
    </row>
    <row r="10" spans="1:30" x14ac:dyDescent="0.3">
      <c r="A10" s="2">
        <v>40</v>
      </c>
      <c r="B10" s="2" t="s">
        <v>129</v>
      </c>
      <c r="C10" s="2" t="s">
        <v>46</v>
      </c>
      <c r="D10" s="2" t="s">
        <v>26</v>
      </c>
      <c r="E10" s="11">
        <v>1</v>
      </c>
      <c r="F10" s="11" t="s">
        <v>29</v>
      </c>
      <c r="G10" s="11">
        <v>1</v>
      </c>
      <c r="H10" s="3">
        <v>1</v>
      </c>
      <c r="I10" s="3" t="s">
        <v>36</v>
      </c>
      <c r="J10" s="3">
        <v>0</v>
      </c>
      <c r="K10" s="11" t="s">
        <v>37</v>
      </c>
      <c r="L10" s="11" t="s">
        <v>31</v>
      </c>
      <c r="M10" s="3" t="s">
        <v>37</v>
      </c>
      <c r="N10" s="4">
        <v>0.88677603453822396</v>
      </c>
      <c r="O10" s="4">
        <v>0.23233810780662401</v>
      </c>
      <c r="P10" s="4">
        <v>0.94764639144200702</v>
      </c>
      <c r="Q10" s="5">
        <v>0.71109999999999995</v>
      </c>
      <c r="R10" s="6" t="s">
        <v>130</v>
      </c>
      <c r="S10" s="3">
        <v>1</v>
      </c>
      <c r="T10" s="3" t="s">
        <v>82</v>
      </c>
      <c r="U10" s="3" t="s">
        <v>82</v>
      </c>
      <c r="V10" s="8">
        <v>7.9609546855750099E-2</v>
      </c>
      <c r="W10" s="8">
        <v>0.114991567680527</v>
      </c>
      <c r="X10" s="8">
        <v>0</v>
      </c>
      <c r="Y10" s="8">
        <v>8.3333333333333301E-2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</row>
    <row r="11" spans="1:30" x14ac:dyDescent="0.3">
      <c r="A11" s="2">
        <v>41</v>
      </c>
      <c r="B11" s="2" t="s">
        <v>172</v>
      </c>
      <c r="C11" s="2" t="s">
        <v>46</v>
      </c>
      <c r="D11" s="2" t="s">
        <v>27</v>
      </c>
      <c r="E11" s="11">
        <v>1</v>
      </c>
      <c r="F11" s="3" t="s">
        <v>47</v>
      </c>
      <c r="G11" s="11">
        <v>1</v>
      </c>
      <c r="H11" s="3">
        <v>0</v>
      </c>
      <c r="I11" s="3" t="s">
        <v>36</v>
      </c>
      <c r="J11" s="3">
        <v>0</v>
      </c>
      <c r="K11" s="11" t="s">
        <v>37</v>
      </c>
      <c r="L11" s="11" t="s">
        <v>37</v>
      </c>
      <c r="M11" s="11" t="s">
        <v>37</v>
      </c>
      <c r="N11" s="4">
        <v>0.88677609381731204</v>
      </c>
      <c r="O11" s="4">
        <v>0.23232664644357101</v>
      </c>
      <c r="P11" s="4">
        <v>0.94766695234014198</v>
      </c>
      <c r="Q11" s="5">
        <v>0.74129999999999996</v>
      </c>
      <c r="S11" s="3">
        <v>0</v>
      </c>
      <c r="T11" s="3" t="s">
        <v>82</v>
      </c>
      <c r="U11" s="3" t="s">
        <v>82</v>
      </c>
      <c r="V11" s="8">
        <v>7.9609546855750099E-2</v>
      </c>
      <c r="W11" s="8">
        <v>0.114991567680527</v>
      </c>
      <c r="X11" s="8">
        <v>0</v>
      </c>
      <c r="Y11" s="8">
        <f>1/12</f>
        <v>8.3333333333333329E-2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</row>
    <row r="12" spans="1:30" x14ac:dyDescent="0.3">
      <c r="A12" s="2">
        <v>42</v>
      </c>
      <c r="B12" s="2" t="s">
        <v>117</v>
      </c>
      <c r="C12" s="2" t="s">
        <v>46</v>
      </c>
      <c r="D12" s="2" t="s">
        <v>52</v>
      </c>
      <c r="E12" s="3">
        <v>1</v>
      </c>
      <c r="F12" s="3" t="s">
        <v>47</v>
      </c>
      <c r="G12" s="3">
        <v>1</v>
      </c>
      <c r="H12" s="3">
        <v>1</v>
      </c>
      <c r="I12" s="3" t="s">
        <v>36</v>
      </c>
      <c r="J12" s="3">
        <v>1</v>
      </c>
      <c r="K12" s="3" t="s">
        <v>37</v>
      </c>
      <c r="L12" s="3" t="s">
        <v>37</v>
      </c>
      <c r="M12" s="11" t="s">
        <v>31</v>
      </c>
      <c r="N12" s="4">
        <v>0.88681174793919504</v>
      </c>
      <c r="O12" s="4">
        <v>0.23235596571223899</v>
      </c>
      <c r="P12" s="4">
        <v>0.94809367747238904</v>
      </c>
      <c r="Q12" s="5">
        <v>0.75519999999999998</v>
      </c>
      <c r="R12" s="6" t="s">
        <v>118</v>
      </c>
      <c r="S12" s="3">
        <v>1</v>
      </c>
      <c r="T12" s="3" t="s">
        <v>82</v>
      </c>
      <c r="U12" s="3" t="s">
        <v>82</v>
      </c>
      <c r="V12" s="8">
        <v>8.6243675760395905E-2</v>
      </c>
      <c r="W12" s="8">
        <v>0.12936551364059301</v>
      </c>
      <c r="X12" s="8">
        <v>0</v>
      </c>
      <c r="Y12" s="8">
        <v>0</v>
      </c>
      <c r="Z12" s="8">
        <v>0</v>
      </c>
      <c r="AA12" s="8">
        <v>0</v>
      </c>
      <c r="AB12" s="8">
        <v>2.20445512039383E-3</v>
      </c>
      <c r="AC12" s="8">
        <v>7.12133008843795E-3</v>
      </c>
      <c r="AD12" s="8">
        <v>9.3257852088317796E-3</v>
      </c>
    </row>
    <row r="13" spans="1:30" x14ac:dyDescent="0.3">
      <c r="A13" s="2">
        <v>43</v>
      </c>
      <c r="B13" s="2" t="s">
        <v>124</v>
      </c>
      <c r="C13" s="2" t="s">
        <v>46</v>
      </c>
      <c r="D13" s="2" t="s">
        <v>53</v>
      </c>
      <c r="E13" s="3">
        <v>1</v>
      </c>
      <c r="F13" s="3" t="s">
        <v>47</v>
      </c>
      <c r="G13" s="3">
        <v>1</v>
      </c>
      <c r="H13" s="3">
        <v>1</v>
      </c>
      <c r="I13" s="3" t="s">
        <v>36</v>
      </c>
      <c r="J13" s="3">
        <v>0</v>
      </c>
      <c r="K13" s="3" t="s">
        <v>37</v>
      </c>
      <c r="L13" s="3" t="s">
        <v>30</v>
      </c>
      <c r="M13" s="3" t="s">
        <v>37</v>
      </c>
      <c r="N13" s="4">
        <v>0.88681174793919504</v>
      </c>
      <c r="O13" s="4">
        <v>0.23235596571223899</v>
      </c>
      <c r="P13" s="4">
        <v>0.94755780248895305</v>
      </c>
      <c r="Q13" s="5">
        <v>0.75029999999999997</v>
      </c>
      <c r="R13" s="6" t="s">
        <v>125</v>
      </c>
      <c r="S13" s="3">
        <v>0</v>
      </c>
      <c r="T13" s="3" t="s">
        <v>82</v>
      </c>
      <c r="U13" s="3" t="s">
        <v>82</v>
      </c>
      <c r="V13" s="8">
        <v>8.6243675760395905E-2</v>
      </c>
      <c r="W13" s="8">
        <v>0.12936551364059301</v>
      </c>
      <c r="X13" s="8">
        <v>0</v>
      </c>
      <c r="Y13" s="8">
        <v>0</v>
      </c>
      <c r="Z13" s="8">
        <v>0</v>
      </c>
      <c r="AA13" s="8">
        <v>0</v>
      </c>
      <c r="AB13" s="8">
        <v>6.4164629100946105E-4</v>
      </c>
      <c r="AC13" s="8">
        <v>6.6E-3</v>
      </c>
      <c r="AD13" s="8">
        <v>7.2416462910094613E-3</v>
      </c>
    </row>
    <row r="14" spans="1:30" x14ac:dyDescent="0.3">
      <c r="A14" s="2">
        <v>44</v>
      </c>
      <c r="B14" s="2" t="s">
        <v>98</v>
      </c>
      <c r="C14" s="2" t="s">
        <v>46</v>
      </c>
      <c r="D14" s="2" t="s">
        <v>54</v>
      </c>
      <c r="E14" s="3">
        <v>1</v>
      </c>
      <c r="F14" s="3" t="s">
        <v>47</v>
      </c>
      <c r="G14" s="3">
        <v>1</v>
      </c>
      <c r="H14" s="3">
        <v>1</v>
      </c>
      <c r="I14" s="3" t="s">
        <v>36</v>
      </c>
      <c r="J14" s="3">
        <v>0</v>
      </c>
      <c r="K14" s="3" t="s">
        <v>37</v>
      </c>
      <c r="L14" s="3" t="s">
        <v>37</v>
      </c>
      <c r="M14" s="3" t="s">
        <v>37</v>
      </c>
      <c r="N14" s="4">
        <v>1.4254060208509101</v>
      </c>
      <c r="O14" s="4">
        <v>0.48532307377314798</v>
      </c>
      <c r="P14" s="4">
        <v>1.84332549583618</v>
      </c>
      <c r="Q14" s="5">
        <v>0.70009999999999994</v>
      </c>
      <c r="R14" s="6" t="s">
        <v>99</v>
      </c>
      <c r="S14" s="3">
        <v>1</v>
      </c>
      <c r="T14" s="3" t="s">
        <v>47</v>
      </c>
      <c r="U14" s="3" t="s">
        <v>82</v>
      </c>
      <c r="V14" s="8">
        <v>8.2266613373686501E-2</v>
      </c>
      <c r="W14" s="8">
        <v>0.12339992006052899</v>
      </c>
      <c r="X14" s="8">
        <v>0</v>
      </c>
      <c r="Y14" s="8">
        <v>0</v>
      </c>
      <c r="Z14" s="8">
        <v>0</v>
      </c>
      <c r="AA14" s="8">
        <v>0.209277892505145</v>
      </c>
      <c r="AB14" s="8">
        <v>0</v>
      </c>
      <c r="AC14" s="8">
        <v>5.74467823236278E-2</v>
      </c>
      <c r="AD14" s="8">
        <v>0.26672467482877282</v>
      </c>
    </row>
    <row r="15" spans="1:30" s="15" customFormat="1" x14ac:dyDescent="0.3">
      <c r="A15" s="2">
        <v>45</v>
      </c>
      <c r="B15" s="10" t="s">
        <v>103</v>
      </c>
      <c r="C15" s="10" t="s">
        <v>46</v>
      </c>
      <c r="D15" s="2" t="s">
        <v>55</v>
      </c>
      <c r="E15" s="11">
        <v>1</v>
      </c>
      <c r="F15" s="11" t="s">
        <v>29</v>
      </c>
      <c r="G15" s="11">
        <v>1</v>
      </c>
      <c r="H15" s="11">
        <v>1</v>
      </c>
      <c r="I15" s="11" t="s">
        <v>36</v>
      </c>
      <c r="J15" s="11">
        <v>0</v>
      </c>
      <c r="K15" s="11" t="s">
        <v>37</v>
      </c>
      <c r="L15" s="11" t="s">
        <v>31</v>
      </c>
      <c r="M15" s="11" t="s">
        <v>31</v>
      </c>
      <c r="N15" s="12">
        <v>2.3131150808137702</v>
      </c>
      <c r="O15" s="12">
        <v>1.1316789111299299</v>
      </c>
      <c r="P15" s="12">
        <v>3.4250717449983599</v>
      </c>
      <c r="Q15" s="13">
        <v>0.7339</v>
      </c>
      <c r="R15" s="14" t="s">
        <v>104</v>
      </c>
      <c r="S15" s="11">
        <v>1</v>
      </c>
      <c r="T15" s="11" t="s">
        <v>82</v>
      </c>
      <c r="U15" s="11" t="s">
        <v>82</v>
      </c>
      <c r="V15" s="8">
        <v>7.0456244939256299E-2</v>
      </c>
      <c r="W15" s="8">
        <v>0.105684367408884</v>
      </c>
      <c r="X15" s="8">
        <v>0</v>
      </c>
      <c r="Y15" s="8">
        <v>0</v>
      </c>
      <c r="Z15" s="8">
        <v>0</v>
      </c>
      <c r="AA15" s="8">
        <v>0.83025664565570201</v>
      </c>
      <c r="AB15" s="8">
        <v>0</v>
      </c>
      <c r="AC15" s="8">
        <v>0.10736235032364901</v>
      </c>
      <c r="AD15" s="8">
        <v>0.93761899597935106</v>
      </c>
    </row>
    <row r="16" spans="1:30" x14ac:dyDescent="0.3">
      <c r="A16" s="2">
        <v>46</v>
      </c>
      <c r="B16" s="2" t="s">
        <v>109</v>
      </c>
      <c r="C16" s="2" t="s">
        <v>46</v>
      </c>
      <c r="D16" s="2" t="s">
        <v>56</v>
      </c>
      <c r="E16" s="11">
        <v>1</v>
      </c>
      <c r="F16" s="3" t="s">
        <v>47</v>
      </c>
      <c r="G16" s="11">
        <v>1</v>
      </c>
      <c r="H16" s="11">
        <v>1</v>
      </c>
      <c r="I16" s="11" t="s">
        <v>36</v>
      </c>
      <c r="J16" s="11">
        <v>0</v>
      </c>
      <c r="K16" s="3" t="s">
        <v>37</v>
      </c>
      <c r="L16" s="3" t="s">
        <v>37</v>
      </c>
      <c r="M16" s="3" t="s">
        <v>37</v>
      </c>
      <c r="N16" s="4">
        <v>0.87844775058246705</v>
      </c>
      <c r="O16" s="4">
        <v>0.22884988792091199</v>
      </c>
      <c r="P16" s="4">
        <v>0.93686355981290004</v>
      </c>
      <c r="Q16" s="5">
        <v>0.70269999999999999</v>
      </c>
      <c r="R16" s="6" t="s">
        <v>110</v>
      </c>
      <c r="S16" s="3">
        <v>0</v>
      </c>
      <c r="T16" s="11" t="s">
        <v>82</v>
      </c>
      <c r="U16" s="11" t="s">
        <v>82</v>
      </c>
      <c r="V16" s="8">
        <v>8.5286248213835902E-2</v>
      </c>
      <c r="W16" s="8">
        <v>0.12792937232075299</v>
      </c>
      <c r="X16" s="8">
        <v>0.165318364102163</v>
      </c>
      <c r="Y16" s="8">
        <v>0</v>
      </c>
      <c r="Z16" s="8">
        <v>0</v>
      </c>
      <c r="AA16" s="8">
        <v>2.7110050001090701E-3</v>
      </c>
      <c r="AB16" s="8">
        <v>1.2990081122869901E-2</v>
      </c>
      <c r="AC16" s="8">
        <v>3.0311440051911099E-2</v>
      </c>
      <c r="AD16" s="8">
        <v>4.6012526174890073E-2</v>
      </c>
    </row>
    <row r="17" spans="1:30" x14ac:dyDescent="0.3">
      <c r="A17" s="2">
        <v>47</v>
      </c>
      <c r="B17" s="2" t="s">
        <v>113</v>
      </c>
      <c r="C17" s="2" t="s">
        <v>46</v>
      </c>
      <c r="D17" s="2" t="s">
        <v>57</v>
      </c>
      <c r="E17" s="11">
        <v>1</v>
      </c>
      <c r="F17" s="11" t="s">
        <v>29</v>
      </c>
      <c r="G17" s="11">
        <v>1</v>
      </c>
      <c r="H17" s="3">
        <v>1</v>
      </c>
      <c r="I17" s="11" t="s">
        <v>36</v>
      </c>
      <c r="J17" s="11">
        <v>1</v>
      </c>
      <c r="K17" s="11" t="s">
        <v>31</v>
      </c>
      <c r="L17" s="3" t="s">
        <v>37</v>
      </c>
      <c r="M17" s="11" t="s">
        <v>31</v>
      </c>
      <c r="N17" s="4">
        <v>0.89581295519192705</v>
      </c>
      <c r="O17" s="4">
        <v>0.23786300627404999</v>
      </c>
      <c r="P17" s="4">
        <v>0.96196429730461097</v>
      </c>
      <c r="Q17" s="5">
        <v>0.73980000000000001</v>
      </c>
      <c r="R17" s="6" t="s">
        <v>110</v>
      </c>
      <c r="S17" s="3">
        <v>0</v>
      </c>
      <c r="T17" s="11" t="s">
        <v>82</v>
      </c>
      <c r="U17" s="3" t="s">
        <v>47</v>
      </c>
      <c r="V17" s="8">
        <v>8.6149500354380598E-2</v>
      </c>
      <c r="W17" s="8">
        <v>0.12922425053157</v>
      </c>
      <c r="X17" s="8">
        <v>2.8683815797042201E-2</v>
      </c>
      <c r="Y17" s="8">
        <v>0</v>
      </c>
      <c r="Z17" s="8">
        <v>0</v>
      </c>
      <c r="AA17" s="8">
        <v>2.60614101652854E-3</v>
      </c>
      <c r="AB17" s="8">
        <v>3.2660338350653699E-3</v>
      </c>
      <c r="AC17" s="8">
        <v>5.8418875075722902E-2</v>
      </c>
      <c r="AD17" s="8">
        <v>6.429104992731681E-2</v>
      </c>
    </row>
    <row r="18" spans="1:30" x14ac:dyDescent="0.3">
      <c r="A18" s="2">
        <v>48</v>
      </c>
      <c r="B18" s="2" t="s">
        <v>136</v>
      </c>
      <c r="C18" s="2" t="s">
        <v>46</v>
      </c>
      <c r="D18" s="2" t="s">
        <v>58</v>
      </c>
      <c r="E18" s="11">
        <v>1</v>
      </c>
      <c r="F18" s="3" t="s">
        <v>47</v>
      </c>
      <c r="G18" s="11">
        <v>1</v>
      </c>
      <c r="H18" s="3">
        <v>1</v>
      </c>
      <c r="I18" s="3" t="s">
        <v>36</v>
      </c>
      <c r="J18" s="3">
        <v>0</v>
      </c>
      <c r="K18" s="3" t="s">
        <v>37</v>
      </c>
      <c r="L18" s="3" t="s">
        <v>37</v>
      </c>
      <c r="M18" s="11" t="s">
        <v>31</v>
      </c>
      <c r="N18" s="4">
        <v>1.45745772866293</v>
      </c>
      <c r="O18" s="4">
        <v>0.48085428395563001</v>
      </c>
      <c r="P18" s="4">
        <v>1.4907328131874</v>
      </c>
      <c r="Q18" s="5">
        <v>0.74650000000000005</v>
      </c>
      <c r="S18" s="3">
        <v>0</v>
      </c>
      <c r="T18" s="11" t="s">
        <v>82</v>
      </c>
      <c r="U18" s="11" t="s">
        <v>82</v>
      </c>
      <c r="V18" s="8">
        <v>8.1785550817855504E-2</v>
      </c>
      <c r="W18" s="8">
        <v>0.122678326226783</v>
      </c>
      <c r="X18" s="8">
        <v>0</v>
      </c>
      <c r="Y18" s="8">
        <v>0</v>
      </c>
      <c r="Z18" s="8">
        <v>0</v>
      </c>
      <c r="AA18" s="8">
        <v>0.238908855888809</v>
      </c>
      <c r="AB18" s="8">
        <v>0</v>
      </c>
      <c r="AC18" s="8">
        <v>0.59726048703053702</v>
      </c>
      <c r="AD18" s="8">
        <v>0.83616934291934597</v>
      </c>
    </row>
    <row r="19" spans="1:30" x14ac:dyDescent="0.3">
      <c r="A19" s="2">
        <v>49</v>
      </c>
      <c r="B19" s="2" t="s">
        <v>175</v>
      </c>
      <c r="C19" s="2" t="s">
        <v>46</v>
      </c>
      <c r="D19" s="2" t="s">
        <v>166</v>
      </c>
      <c r="E19" s="3">
        <v>1</v>
      </c>
      <c r="F19" s="3" t="s">
        <v>29</v>
      </c>
      <c r="G19" s="3">
        <v>1</v>
      </c>
      <c r="H19" s="3">
        <v>1</v>
      </c>
      <c r="I19" s="3" t="s">
        <v>36</v>
      </c>
      <c r="J19" s="3">
        <v>0</v>
      </c>
      <c r="K19" s="11" t="s">
        <v>31</v>
      </c>
      <c r="L19" s="3" t="s">
        <v>37</v>
      </c>
      <c r="M19" s="3" t="s">
        <v>37</v>
      </c>
      <c r="N19" s="4">
        <v>1.95378909364188</v>
      </c>
      <c r="O19" s="4">
        <v>0.82036526663406695</v>
      </c>
      <c r="P19" s="4">
        <v>2.5222958406240701</v>
      </c>
      <c r="Q19" s="5">
        <v>0.76500000000000001</v>
      </c>
      <c r="S19" s="3">
        <v>0</v>
      </c>
      <c r="T19" s="11" t="s">
        <v>82</v>
      </c>
      <c r="U19" s="11" t="s">
        <v>82</v>
      </c>
      <c r="V19" s="8">
        <v>7.4038403393445196E-2</v>
      </c>
      <c r="W19" s="8">
        <v>0.111057605090167</v>
      </c>
      <c r="X19" s="8">
        <v>0</v>
      </c>
      <c r="Y19" s="8">
        <v>0</v>
      </c>
      <c r="Z19" s="8">
        <v>0</v>
      </c>
      <c r="AA19" s="8">
        <v>0.65040701715784099</v>
      </c>
      <c r="AB19" s="8">
        <v>0</v>
      </c>
      <c r="AC19" s="8">
        <v>0.37066876960933198</v>
      </c>
      <c r="AD19" s="8">
        <v>1.0210999999999999</v>
      </c>
    </row>
    <row r="20" spans="1:30" x14ac:dyDescent="0.3">
      <c r="A20" s="2">
        <v>50</v>
      </c>
      <c r="B20" s="2" t="s">
        <v>148</v>
      </c>
      <c r="C20" s="2" t="s">
        <v>46</v>
      </c>
      <c r="D20" s="2" t="s">
        <v>167</v>
      </c>
      <c r="E20" s="11">
        <v>1</v>
      </c>
      <c r="F20" s="3" t="s">
        <v>47</v>
      </c>
      <c r="G20" s="11">
        <v>1</v>
      </c>
      <c r="H20" s="3">
        <v>1</v>
      </c>
      <c r="I20" s="3" t="s">
        <v>36</v>
      </c>
      <c r="J20" s="3">
        <v>0</v>
      </c>
      <c r="K20" s="11" t="s">
        <v>31</v>
      </c>
      <c r="L20" s="3" t="s">
        <v>37</v>
      </c>
      <c r="M20" s="3" t="s">
        <v>37</v>
      </c>
      <c r="N20" s="4">
        <v>0.88776461586018796</v>
      </c>
      <c r="O20" s="4">
        <v>0.23094009595596299</v>
      </c>
      <c r="P20" s="4">
        <v>0.95932504573964195</v>
      </c>
      <c r="Q20" s="5">
        <v>0.74080000000000001</v>
      </c>
      <c r="S20" s="3">
        <v>0</v>
      </c>
      <c r="T20" s="3" t="s">
        <v>47</v>
      </c>
      <c r="U20" s="11" t="s">
        <v>82</v>
      </c>
      <c r="V20" s="8">
        <v>8.6243675760395905E-2</v>
      </c>
      <c r="W20" s="8">
        <v>0.12936551364059301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0.75746103836228396</v>
      </c>
      <c r="AD20" s="8">
        <v>0.75746103836228396</v>
      </c>
    </row>
    <row r="21" spans="1:30" x14ac:dyDescent="0.3">
      <c r="A21" s="2">
        <v>51</v>
      </c>
      <c r="B21" s="2" t="s">
        <v>150</v>
      </c>
      <c r="C21" s="2" t="s">
        <v>46</v>
      </c>
      <c r="D21" s="2" t="s">
        <v>168</v>
      </c>
      <c r="E21" s="11">
        <v>1</v>
      </c>
      <c r="F21" s="3" t="s">
        <v>47</v>
      </c>
      <c r="G21" s="11">
        <v>1</v>
      </c>
      <c r="H21" s="3">
        <v>1</v>
      </c>
      <c r="I21" s="3" t="s">
        <v>36</v>
      </c>
      <c r="J21" s="3">
        <v>0</v>
      </c>
      <c r="K21" s="3" t="s">
        <v>37</v>
      </c>
      <c r="L21" s="3" t="s">
        <v>37</v>
      </c>
      <c r="M21" s="3" t="s">
        <v>37</v>
      </c>
      <c r="N21" s="4">
        <v>0.88675359365145701</v>
      </c>
      <c r="O21" s="4">
        <v>0.232264701580841</v>
      </c>
      <c r="P21" s="4">
        <v>0.94721401932500804</v>
      </c>
      <c r="Q21" s="5">
        <v>0.75349999999999995</v>
      </c>
      <c r="S21" s="3">
        <v>0</v>
      </c>
      <c r="T21" s="11" t="s">
        <v>82</v>
      </c>
      <c r="U21" s="11" t="s">
        <v>82</v>
      </c>
      <c r="V21" s="8">
        <v>8.6243675760395905E-2</v>
      </c>
      <c r="W21" s="8">
        <v>0.12936551364059301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0.16121054552610001</v>
      </c>
      <c r="AD21" s="8">
        <v>0.16121054552610001</v>
      </c>
    </row>
    <row r="22" spans="1:30" x14ac:dyDescent="0.3">
      <c r="A22" s="2">
        <v>52</v>
      </c>
      <c r="B22" s="2" t="s">
        <v>84</v>
      </c>
      <c r="C22" s="2" t="s">
        <v>8</v>
      </c>
      <c r="D22" s="2" t="s">
        <v>18</v>
      </c>
      <c r="E22" s="3">
        <v>1</v>
      </c>
      <c r="F22" s="3" t="s">
        <v>29</v>
      </c>
      <c r="G22" s="3">
        <v>1</v>
      </c>
      <c r="H22" s="3">
        <v>0</v>
      </c>
      <c r="I22" s="3" t="s">
        <v>36</v>
      </c>
      <c r="J22" s="3">
        <v>1</v>
      </c>
      <c r="K22" s="3" t="s">
        <v>31</v>
      </c>
      <c r="L22" s="3" t="s">
        <v>37</v>
      </c>
      <c r="M22" s="3" t="s">
        <v>31</v>
      </c>
      <c r="N22" s="4">
        <v>0.86344734825851899</v>
      </c>
      <c r="O22" s="4">
        <v>0.23077709298066701</v>
      </c>
      <c r="P22" s="4">
        <v>0.93019627719618903</v>
      </c>
      <c r="Q22" s="5">
        <v>0.58699999999999997</v>
      </c>
      <c r="S22" s="3">
        <v>1</v>
      </c>
      <c r="T22" s="3" t="s">
        <v>82</v>
      </c>
      <c r="U22" s="3" t="s">
        <v>47</v>
      </c>
      <c r="V22" s="8">
        <v>9.4551284414900599E-2</v>
      </c>
      <c r="W22" s="8">
        <v>0.12936551364059301</v>
      </c>
      <c r="X22" s="8">
        <v>0</v>
      </c>
      <c r="Y22" s="8">
        <v>0</v>
      </c>
      <c r="Z22" s="8">
        <v>8.3076086545046494E-3</v>
      </c>
      <c r="AA22" s="8">
        <v>0</v>
      </c>
      <c r="AB22" s="8">
        <v>5.7500450206072901E-7</v>
      </c>
      <c r="AC22" s="8">
        <v>1.5720369322090801E-3</v>
      </c>
      <c r="AD22" s="8">
        <v>1.5726119367111407E-3</v>
      </c>
    </row>
    <row r="23" spans="1:30" x14ac:dyDescent="0.3">
      <c r="A23" s="2">
        <v>53</v>
      </c>
      <c r="B23" s="2" t="s">
        <v>88</v>
      </c>
      <c r="C23" s="2" t="s">
        <v>8</v>
      </c>
      <c r="D23" s="2" t="s">
        <v>19</v>
      </c>
      <c r="E23" s="3">
        <v>1</v>
      </c>
      <c r="F23" s="3" t="s">
        <v>29</v>
      </c>
      <c r="G23" s="3">
        <v>1</v>
      </c>
      <c r="H23" s="3">
        <v>0</v>
      </c>
      <c r="I23" s="3" t="s">
        <v>36</v>
      </c>
      <c r="J23" s="3">
        <v>0</v>
      </c>
      <c r="K23" s="3" t="s">
        <v>31</v>
      </c>
      <c r="L23" s="3" t="s">
        <v>37</v>
      </c>
      <c r="M23" s="3" t="s">
        <v>87</v>
      </c>
      <c r="N23" s="4">
        <v>0.89590872237894803</v>
      </c>
      <c r="O23" s="4">
        <v>0.235077198812011</v>
      </c>
      <c r="P23" s="4">
        <v>0.962914291171586</v>
      </c>
      <c r="Q23" s="5">
        <v>0.54430000000000001</v>
      </c>
      <c r="S23" s="3">
        <v>1</v>
      </c>
      <c r="T23" s="3" t="s">
        <v>82</v>
      </c>
      <c r="U23" s="3" t="s">
        <v>47</v>
      </c>
      <c r="V23" s="8">
        <v>0.12794186837125501</v>
      </c>
      <c r="W23" s="8">
        <v>0.12936551364059301</v>
      </c>
      <c r="X23" s="8">
        <v>0</v>
      </c>
      <c r="Y23" s="8">
        <v>0</v>
      </c>
      <c r="Z23" s="8">
        <v>4.16981926108594E-2</v>
      </c>
      <c r="AA23" s="8">
        <v>0</v>
      </c>
      <c r="AB23" s="8">
        <v>4.7057608851045097E-6</v>
      </c>
      <c r="AC23" s="8">
        <v>3.4749372777766398E-3</v>
      </c>
      <c r="AD23" s="8">
        <v>3.479643038661745E-3</v>
      </c>
    </row>
    <row r="24" spans="1:30" x14ac:dyDescent="0.3">
      <c r="A24" s="2">
        <v>54</v>
      </c>
      <c r="B24" s="2" t="s">
        <v>91</v>
      </c>
      <c r="C24" s="2" t="s">
        <v>8</v>
      </c>
      <c r="D24" s="2" t="s">
        <v>20</v>
      </c>
      <c r="E24" s="3">
        <v>1</v>
      </c>
      <c r="F24" s="3" t="s">
        <v>29</v>
      </c>
      <c r="G24" s="3">
        <v>1</v>
      </c>
      <c r="H24" s="3">
        <v>1</v>
      </c>
      <c r="I24" s="3" t="s">
        <v>36</v>
      </c>
      <c r="J24" s="3">
        <v>1</v>
      </c>
      <c r="K24" s="3" t="s">
        <v>32</v>
      </c>
      <c r="L24" s="3" t="s">
        <v>31</v>
      </c>
      <c r="M24" s="3" t="s">
        <v>31</v>
      </c>
      <c r="N24" s="4">
        <v>0.87606117294665098</v>
      </c>
      <c r="O24" s="4">
        <v>0.231026332660594</v>
      </c>
      <c r="P24" s="4">
        <v>0.92902807703365897</v>
      </c>
      <c r="Q24" s="5">
        <v>0.56889999999999996</v>
      </c>
      <c r="S24" s="3">
        <v>1</v>
      </c>
      <c r="T24" s="3" t="s">
        <v>82</v>
      </c>
      <c r="U24" s="3" t="s">
        <v>47</v>
      </c>
      <c r="V24" s="8">
        <v>8.6243103606362295E-2</v>
      </c>
      <c r="W24" s="8">
        <v>0.12936465540954301</v>
      </c>
      <c r="X24" s="8">
        <v>2.9497959478653E-2</v>
      </c>
      <c r="Y24" s="8">
        <v>0</v>
      </c>
      <c r="Z24" s="8">
        <v>0</v>
      </c>
      <c r="AA24" s="8">
        <v>5.7371191508643298E-5</v>
      </c>
      <c r="AB24" s="8">
        <v>2.3506673511150899E-7</v>
      </c>
      <c r="AC24" s="8">
        <v>1.6521432140010901E-3</v>
      </c>
      <c r="AD24" s="8">
        <v>1.7097494722448439E-3</v>
      </c>
    </row>
    <row r="25" spans="1:30" x14ac:dyDescent="0.3">
      <c r="A25" s="2">
        <v>55</v>
      </c>
      <c r="B25" s="2" t="s">
        <v>94</v>
      </c>
      <c r="C25" s="2" t="s">
        <v>8</v>
      </c>
      <c r="D25" s="2" t="s">
        <v>21</v>
      </c>
      <c r="E25" s="3">
        <v>1</v>
      </c>
      <c r="F25" s="3" t="s">
        <v>29</v>
      </c>
      <c r="G25" s="3">
        <v>1</v>
      </c>
      <c r="H25" s="3">
        <v>0</v>
      </c>
      <c r="I25" s="3" t="s">
        <v>36</v>
      </c>
      <c r="J25" s="3">
        <v>0</v>
      </c>
      <c r="K25" s="3" t="s">
        <v>31</v>
      </c>
      <c r="L25" s="3" t="s">
        <v>31</v>
      </c>
      <c r="M25" s="3" t="s">
        <v>31</v>
      </c>
      <c r="N25" s="4">
        <v>0.87392315034929502</v>
      </c>
      <c r="O25" s="4">
        <v>0.23178006002512999</v>
      </c>
      <c r="P25" s="4">
        <v>0.93376729370840295</v>
      </c>
      <c r="Q25" s="5">
        <v>0.55610000000000004</v>
      </c>
      <c r="S25" s="3">
        <v>1</v>
      </c>
      <c r="T25" s="3" t="s">
        <v>82</v>
      </c>
      <c r="U25" s="3" t="s">
        <v>82</v>
      </c>
      <c r="V25" s="8">
        <v>8.6246762616065703E-2</v>
      </c>
      <c r="W25" s="8">
        <v>0.12937014392409801</v>
      </c>
      <c r="X25" s="8">
        <v>0.14748979739326501</v>
      </c>
      <c r="Y25" s="8">
        <v>0</v>
      </c>
      <c r="Z25" s="8">
        <v>0</v>
      </c>
      <c r="AA25" s="8">
        <v>8.1184453891828298E-4</v>
      </c>
      <c r="AB25" s="8">
        <v>1.68951734016898E-6</v>
      </c>
      <c r="AC25" s="8">
        <v>4.7099606882422297E-3</v>
      </c>
      <c r="AD25" s="8">
        <v>5.5234947445006732E-3</v>
      </c>
    </row>
    <row r="26" spans="1:30" x14ac:dyDescent="0.3">
      <c r="A26" s="2">
        <v>56</v>
      </c>
      <c r="B26" s="2" t="s">
        <v>157</v>
      </c>
      <c r="C26" s="2" t="s">
        <v>8</v>
      </c>
      <c r="D26" s="2" t="s">
        <v>22</v>
      </c>
      <c r="E26" s="3">
        <v>1</v>
      </c>
      <c r="F26" s="3" t="s">
        <v>29</v>
      </c>
      <c r="G26" s="3">
        <v>1</v>
      </c>
      <c r="H26" s="3">
        <v>0</v>
      </c>
      <c r="I26" s="3" t="s">
        <v>36</v>
      </c>
      <c r="J26" s="3">
        <v>1</v>
      </c>
      <c r="K26" s="3" t="s">
        <v>32</v>
      </c>
      <c r="L26" s="3" t="s">
        <v>37</v>
      </c>
      <c r="M26" s="3" t="s">
        <v>31</v>
      </c>
      <c r="N26" s="4">
        <v>0.88723577826508404</v>
      </c>
      <c r="O26" s="4">
        <v>0.232012509131584</v>
      </c>
      <c r="P26" s="4">
        <v>0.95377974265973198</v>
      </c>
      <c r="Q26" s="5">
        <v>0.57189999999999996</v>
      </c>
      <c r="S26" s="3">
        <v>0</v>
      </c>
      <c r="T26" s="3" t="s">
        <v>82</v>
      </c>
      <c r="U26" s="3" t="s">
        <v>82</v>
      </c>
      <c r="V26" s="8">
        <v>8.6342270455259398E-2</v>
      </c>
      <c r="W26" s="8">
        <v>0.13568071071540699</v>
      </c>
      <c r="X26" s="8">
        <v>0</v>
      </c>
      <c r="Y26" s="8">
        <v>8.3333333333333301E-2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</row>
    <row r="27" spans="1:30" x14ac:dyDescent="0.3">
      <c r="A27" s="2">
        <v>57</v>
      </c>
      <c r="B27" s="2" t="s">
        <v>170</v>
      </c>
      <c r="C27" s="2" t="s">
        <v>8</v>
      </c>
      <c r="D27" s="2" t="s">
        <v>23</v>
      </c>
      <c r="E27" s="3">
        <v>1</v>
      </c>
      <c r="F27" s="3" t="s">
        <v>29</v>
      </c>
      <c r="G27" s="3">
        <v>1</v>
      </c>
      <c r="H27" s="3">
        <v>0</v>
      </c>
      <c r="I27" s="3" t="s">
        <v>36</v>
      </c>
      <c r="J27" s="3">
        <v>1</v>
      </c>
      <c r="K27" s="3" t="s">
        <v>37</v>
      </c>
      <c r="L27" s="3" t="s">
        <v>31</v>
      </c>
      <c r="M27" s="3" t="s">
        <v>31</v>
      </c>
      <c r="N27" s="4">
        <v>0.88757292934031295</v>
      </c>
      <c r="O27" s="4">
        <v>0.230817890140116</v>
      </c>
      <c r="P27" s="4">
        <v>0.96025267124899305</v>
      </c>
      <c r="Q27" s="5">
        <v>0.5343</v>
      </c>
      <c r="S27" s="3">
        <v>0</v>
      </c>
      <c r="T27" s="3" t="s">
        <v>82</v>
      </c>
      <c r="U27" s="3" t="s">
        <v>82</v>
      </c>
      <c r="V27" s="8">
        <v>9.4976497500785295E-2</v>
      </c>
      <c r="W27" s="8">
        <v>0.13568071071540699</v>
      </c>
      <c r="X27" s="8">
        <v>0</v>
      </c>
      <c r="Y27" s="8">
        <f>1/6</f>
        <v>0.16666666666666666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</row>
    <row r="28" spans="1:30" x14ac:dyDescent="0.3">
      <c r="A28" s="2">
        <v>58</v>
      </c>
      <c r="B28" s="2" t="s">
        <v>134</v>
      </c>
      <c r="C28" s="2" t="s">
        <v>8</v>
      </c>
      <c r="D28" s="2" t="s">
        <v>24</v>
      </c>
      <c r="E28" s="3">
        <v>0</v>
      </c>
      <c r="F28" s="3" t="s">
        <v>64</v>
      </c>
      <c r="G28" s="3">
        <v>1</v>
      </c>
      <c r="H28" s="3">
        <v>0</v>
      </c>
      <c r="I28" s="3" t="s">
        <v>36</v>
      </c>
      <c r="J28" s="3">
        <v>1</v>
      </c>
      <c r="K28" s="3"/>
      <c r="L28" s="3"/>
      <c r="M28" s="3"/>
      <c r="N28" s="4">
        <v>0.87500552273278698</v>
      </c>
      <c r="O28" s="4">
        <v>0.23047440956147899</v>
      </c>
      <c r="P28" s="4">
        <v>0.93196101626586902</v>
      </c>
      <c r="Q28" s="5">
        <v>0.61070000000000002</v>
      </c>
      <c r="S28" s="3">
        <v>1</v>
      </c>
      <c r="T28" s="3" t="s">
        <v>82</v>
      </c>
      <c r="U28" s="3" t="s">
        <v>82</v>
      </c>
      <c r="V28" s="8">
        <v>8.6255155709569306E-2</v>
      </c>
      <c r="W28" s="8">
        <v>0.12938273356435401</v>
      </c>
      <c r="X28" s="8">
        <v>4.9999041316316897E-2</v>
      </c>
      <c r="Y28" s="8">
        <v>0</v>
      </c>
      <c r="Z28" s="8">
        <v>0</v>
      </c>
      <c r="AA28" s="8">
        <v>1.40780488266386E-4</v>
      </c>
      <c r="AB28" s="8">
        <v>3.2765665492461603E-7</v>
      </c>
      <c r="AC28" s="8">
        <v>1.76219545721219E-3</v>
      </c>
      <c r="AD28" s="8">
        <v>1.9033036021335048E-3</v>
      </c>
    </row>
    <row r="29" spans="1:30" x14ac:dyDescent="0.3">
      <c r="A29" s="2">
        <v>59</v>
      </c>
      <c r="B29" s="2" t="s">
        <v>154</v>
      </c>
      <c r="C29" s="2" t="s">
        <v>8</v>
      </c>
      <c r="D29" s="2" t="s">
        <v>25</v>
      </c>
      <c r="E29" s="3">
        <v>1</v>
      </c>
      <c r="F29" s="3" t="s">
        <v>29</v>
      </c>
      <c r="G29" s="3">
        <v>1</v>
      </c>
      <c r="H29" s="3">
        <v>0</v>
      </c>
      <c r="I29" s="3"/>
      <c r="J29" s="3">
        <v>0</v>
      </c>
      <c r="K29" s="3" t="s">
        <v>31</v>
      </c>
      <c r="L29" s="3" t="s">
        <v>37</v>
      </c>
      <c r="M29" s="3" t="s">
        <v>31</v>
      </c>
      <c r="N29" s="4">
        <v>0.885435097056258</v>
      </c>
      <c r="O29" s="4">
        <v>0.233891077430257</v>
      </c>
      <c r="P29" s="4">
        <v>0.952169144934639</v>
      </c>
      <c r="Q29" s="5">
        <v>0.52710000000000001</v>
      </c>
      <c r="S29" s="3">
        <v>1</v>
      </c>
      <c r="T29" s="3" t="s">
        <v>82</v>
      </c>
      <c r="U29" s="3" t="s">
        <v>82</v>
      </c>
      <c r="V29" s="8">
        <v>8.6238784872497906E-2</v>
      </c>
      <c r="W29" s="8">
        <v>0.12935817730874599</v>
      </c>
      <c r="X29" s="8">
        <v>0.24999963127550601</v>
      </c>
      <c r="Y29" s="8">
        <v>0</v>
      </c>
      <c r="Z29" s="8">
        <v>0</v>
      </c>
      <c r="AA29" s="8">
        <v>3.71066804932259E-4</v>
      </c>
      <c r="AB29" s="8">
        <v>1.1297334765497799E-6</v>
      </c>
      <c r="AC29" s="8">
        <v>3.4529397672654698E-3</v>
      </c>
      <c r="AD29" s="8">
        <v>3.8251363056742704E-3</v>
      </c>
    </row>
    <row r="30" spans="1:30" x14ac:dyDescent="0.3">
      <c r="A30" s="2">
        <v>60</v>
      </c>
      <c r="B30" s="2" t="s">
        <v>131</v>
      </c>
      <c r="C30" s="2" t="s">
        <v>8</v>
      </c>
      <c r="D30" s="2" t="s">
        <v>26</v>
      </c>
      <c r="E30" s="3">
        <v>1</v>
      </c>
      <c r="F30" s="3" t="s">
        <v>29</v>
      </c>
      <c r="G30" s="3">
        <v>1</v>
      </c>
      <c r="H30" s="3">
        <v>0</v>
      </c>
      <c r="I30" s="3" t="s">
        <v>36</v>
      </c>
      <c r="J30" s="3">
        <v>1</v>
      </c>
      <c r="K30" s="3" t="s">
        <v>31</v>
      </c>
      <c r="L30" s="3" t="s">
        <v>37</v>
      </c>
      <c r="M30" s="3" t="s">
        <v>31</v>
      </c>
      <c r="N30" s="4">
        <v>0.88677603453822396</v>
      </c>
      <c r="O30" s="4">
        <v>0.23233810780662401</v>
      </c>
      <c r="P30" s="4">
        <v>0.94764639144200702</v>
      </c>
      <c r="Q30" s="5">
        <v>0.56640000000000001</v>
      </c>
      <c r="R30" s="6" t="s">
        <v>130</v>
      </c>
      <c r="S30" s="3">
        <v>1</v>
      </c>
      <c r="T30" s="3" t="s">
        <v>82</v>
      </c>
      <c r="U30" s="3" t="s">
        <v>47</v>
      </c>
      <c r="V30" s="8">
        <v>7.9609546855750099E-2</v>
      </c>
      <c r="W30" s="8">
        <v>0.114991567680527</v>
      </c>
      <c r="X30" s="8">
        <v>0</v>
      </c>
      <c r="Y30" s="8">
        <v>8.3333333333333301E-2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</row>
    <row r="31" spans="1:30" x14ac:dyDescent="0.3">
      <c r="A31" s="2">
        <v>61</v>
      </c>
      <c r="B31" s="2" t="s">
        <v>173</v>
      </c>
      <c r="C31" s="2" t="s">
        <v>8</v>
      </c>
      <c r="D31" s="2" t="s">
        <v>27</v>
      </c>
      <c r="E31" s="3">
        <v>0</v>
      </c>
      <c r="F31" s="3" t="s">
        <v>63</v>
      </c>
      <c r="G31" s="3">
        <v>1</v>
      </c>
      <c r="H31" s="3">
        <v>1</v>
      </c>
      <c r="I31" s="3" t="s">
        <v>36</v>
      </c>
      <c r="J31" s="3">
        <v>1</v>
      </c>
      <c r="K31" s="3"/>
      <c r="L31" s="3"/>
      <c r="M31" s="3"/>
      <c r="N31" s="4"/>
      <c r="O31" s="4"/>
      <c r="P31" s="4"/>
      <c r="Q31" s="5"/>
      <c r="S31" s="3">
        <v>0</v>
      </c>
      <c r="T31" s="3" t="s">
        <v>82</v>
      </c>
      <c r="V31" s="8">
        <v>7.9609546855750099E-2</v>
      </c>
      <c r="W31" s="8">
        <v>0.114991567680527</v>
      </c>
      <c r="X31" s="8">
        <v>0</v>
      </c>
      <c r="Y31" s="8">
        <f>1/12</f>
        <v>8.3333333333333329E-2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</row>
    <row r="32" spans="1:30" x14ac:dyDescent="0.3">
      <c r="A32" s="2">
        <v>62</v>
      </c>
      <c r="B32" s="2" t="s">
        <v>121</v>
      </c>
      <c r="C32" s="2" t="s">
        <v>8</v>
      </c>
      <c r="D32" s="2" t="s">
        <v>52</v>
      </c>
      <c r="E32" s="3">
        <v>1</v>
      </c>
      <c r="F32" s="3" t="s">
        <v>29</v>
      </c>
      <c r="G32" s="3">
        <v>2</v>
      </c>
      <c r="H32" s="3">
        <v>1</v>
      </c>
      <c r="I32" s="3" t="s">
        <v>36</v>
      </c>
      <c r="J32" s="3">
        <v>1</v>
      </c>
      <c r="K32" s="3" t="s">
        <v>31</v>
      </c>
      <c r="L32" s="3" t="s">
        <v>31</v>
      </c>
      <c r="M32" s="3" t="s">
        <v>31</v>
      </c>
      <c r="N32" s="4">
        <v>0.88681174793919504</v>
      </c>
      <c r="O32" s="4">
        <v>0.23235596571223899</v>
      </c>
      <c r="P32" s="4">
        <v>0.94809367747238904</v>
      </c>
      <c r="Q32" s="5">
        <v>0.53990000000000005</v>
      </c>
      <c r="R32" s="6" t="s">
        <v>120</v>
      </c>
      <c r="S32" s="3">
        <v>1</v>
      </c>
      <c r="T32" s="3" t="s">
        <v>119</v>
      </c>
      <c r="U32" s="3" t="s">
        <v>82</v>
      </c>
      <c r="V32" s="8">
        <v>8.6243675760395905E-2</v>
      </c>
      <c r="W32" s="8">
        <v>0.12936551364059301</v>
      </c>
      <c r="X32" s="8">
        <v>0</v>
      </c>
      <c r="Y32" s="8">
        <v>0</v>
      </c>
      <c r="Z32" s="8">
        <v>0</v>
      </c>
      <c r="AA32" s="8">
        <v>0</v>
      </c>
      <c r="AB32" s="8">
        <v>2.20445512039383E-3</v>
      </c>
      <c r="AC32" s="8">
        <v>7.12133008843795E-3</v>
      </c>
      <c r="AD32" s="8">
        <v>9.3257852088317796E-3</v>
      </c>
    </row>
    <row r="33" spans="1:30" x14ac:dyDescent="0.3">
      <c r="A33" s="2">
        <v>63</v>
      </c>
      <c r="B33" s="2" t="s">
        <v>127</v>
      </c>
      <c r="C33" s="2" t="s">
        <v>8</v>
      </c>
      <c r="D33" s="2" t="s">
        <v>53</v>
      </c>
      <c r="E33" s="3">
        <v>1</v>
      </c>
      <c r="F33" s="3" t="s">
        <v>29</v>
      </c>
      <c r="G33" s="3">
        <v>2</v>
      </c>
      <c r="H33" s="3">
        <v>1</v>
      </c>
      <c r="I33" s="3" t="s">
        <v>36</v>
      </c>
      <c r="J33" s="3">
        <v>1</v>
      </c>
      <c r="K33" s="3" t="s">
        <v>31</v>
      </c>
      <c r="L33" s="3" t="s">
        <v>37</v>
      </c>
      <c r="M33" s="3" t="s">
        <v>31</v>
      </c>
      <c r="N33" s="4">
        <v>0.87678703461281704</v>
      </c>
      <c r="O33" s="4">
        <v>0.23275469963460099</v>
      </c>
      <c r="P33" s="4">
        <v>0.88181511692581405</v>
      </c>
      <c r="Q33" s="5">
        <v>0.56720000000000004</v>
      </c>
      <c r="R33" s="6" t="s">
        <v>126</v>
      </c>
      <c r="S33" s="3">
        <v>1</v>
      </c>
      <c r="T33" s="3" t="s">
        <v>82</v>
      </c>
      <c r="U33" s="3" t="s">
        <v>101</v>
      </c>
      <c r="V33" s="8">
        <v>8.6243675760395905E-2</v>
      </c>
      <c r="W33" s="8">
        <v>0.12936551364059301</v>
      </c>
      <c r="X33" s="8">
        <v>0</v>
      </c>
      <c r="Y33" s="8">
        <v>0</v>
      </c>
      <c r="Z33" s="8">
        <v>0</v>
      </c>
      <c r="AA33" s="8">
        <v>0</v>
      </c>
      <c r="AB33" s="8">
        <v>6.4164629100946105E-4</v>
      </c>
      <c r="AC33" s="8">
        <v>6.6E-3</v>
      </c>
      <c r="AD33" s="8">
        <v>7.2416462910094613E-3</v>
      </c>
    </row>
    <row r="34" spans="1:30" x14ac:dyDescent="0.3">
      <c r="A34" s="2">
        <v>64</v>
      </c>
      <c r="B34" s="2" t="s">
        <v>98</v>
      </c>
      <c r="C34" s="2" t="s">
        <v>8</v>
      </c>
      <c r="D34" s="2" t="s">
        <v>54</v>
      </c>
      <c r="E34" s="3">
        <v>1</v>
      </c>
      <c r="F34" s="3" t="s">
        <v>29</v>
      </c>
      <c r="G34" s="3">
        <v>1</v>
      </c>
      <c r="H34" s="3">
        <v>0</v>
      </c>
      <c r="I34" s="3" t="s">
        <v>36</v>
      </c>
      <c r="J34" s="3">
        <v>1</v>
      </c>
      <c r="K34" s="3" t="s">
        <v>31</v>
      </c>
      <c r="L34" s="3" t="s">
        <v>31</v>
      </c>
      <c r="M34" s="3" t="s">
        <v>31</v>
      </c>
      <c r="N34" s="4">
        <v>1.4254060208509101</v>
      </c>
      <c r="O34" s="4">
        <v>0.48532307377314798</v>
      </c>
      <c r="P34" s="4">
        <v>1.84332549583618</v>
      </c>
      <c r="Q34" s="5">
        <v>0.53969999999999996</v>
      </c>
      <c r="R34" s="6" t="s">
        <v>99</v>
      </c>
      <c r="S34" s="3">
        <v>1</v>
      </c>
      <c r="T34" s="3" t="s">
        <v>82</v>
      </c>
      <c r="U34" s="3" t="s">
        <v>82</v>
      </c>
      <c r="V34" s="8">
        <v>8.2266613373686501E-2</v>
      </c>
      <c r="W34" s="8">
        <v>0.12339992006052899</v>
      </c>
      <c r="X34" s="8">
        <v>0</v>
      </c>
      <c r="Y34" s="8">
        <v>0</v>
      </c>
      <c r="Z34" s="8">
        <v>0</v>
      </c>
      <c r="AA34" s="8">
        <v>0.209277892505145</v>
      </c>
      <c r="AB34" s="8">
        <v>0</v>
      </c>
      <c r="AC34" s="8">
        <v>5.74467823236278E-2</v>
      </c>
      <c r="AD34" s="8">
        <v>0.26672467482877282</v>
      </c>
    </row>
    <row r="35" spans="1:30" x14ac:dyDescent="0.3">
      <c r="A35" s="2">
        <v>65</v>
      </c>
      <c r="B35" s="2" t="s">
        <v>105</v>
      </c>
      <c r="C35" s="2" t="s">
        <v>8</v>
      </c>
      <c r="D35" s="2" t="s">
        <v>55</v>
      </c>
      <c r="E35" s="3">
        <v>1</v>
      </c>
      <c r="F35" s="3" t="s">
        <v>29</v>
      </c>
      <c r="G35" s="3">
        <v>1</v>
      </c>
      <c r="H35" s="3">
        <v>0</v>
      </c>
      <c r="I35" s="3" t="s">
        <v>36</v>
      </c>
      <c r="J35" s="3">
        <v>0</v>
      </c>
      <c r="K35" s="3" t="s">
        <v>37</v>
      </c>
      <c r="L35" s="3" t="s">
        <v>31</v>
      </c>
      <c r="M35" s="3" t="s">
        <v>31</v>
      </c>
      <c r="N35" s="12">
        <v>2.3131150808137702</v>
      </c>
      <c r="O35" s="12">
        <v>1.1316789111299299</v>
      </c>
      <c r="P35" s="12">
        <v>3.4250717449983599</v>
      </c>
      <c r="Q35" s="5">
        <v>0.59309999999999996</v>
      </c>
      <c r="R35" s="6" t="s">
        <v>106</v>
      </c>
      <c r="S35" s="3">
        <v>1</v>
      </c>
      <c r="T35" s="3" t="s">
        <v>82</v>
      </c>
      <c r="U35" s="3" t="s">
        <v>82</v>
      </c>
      <c r="V35" s="8">
        <v>7.0456244939256299E-2</v>
      </c>
      <c r="W35" s="8">
        <v>0.105684367408884</v>
      </c>
      <c r="X35" s="8">
        <v>0</v>
      </c>
      <c r="Y35" s="8">
        <v>0</v>
      </c>
      <c r="Z35" s="8">
        <v>0</v>
      </c>
      <c r="AA35" s="8">
        <v>0.83025664565570201</v>
      </c>
      <c r="AB35" s="8">
        <v>0</v>
      </c>
      <c r="AC35" s="8">
        <v>0.10736235032364901</v>
      </c>
      <c r="AD35" s="8">
        <v>0.93761899597935106</v>
      </c>
    </row>
    <row r="36" spans="1:30" x14ac:dyDescent="0.3">
      <c r="A36" s="2">
        <v>66</v>
      </c>
      <c r="B36" s="2" t="s">
        <v>111</v>
      </c>
      <c r="C36" s="2" t="s">
        <v>8</v>
      </c>
      <c r="D36" s="2" t="s">
        <v>56</v>
      </c>
      <c r="E36" s="3">
        <v>1</v>
      </c>
      <c r="F36" s="3" t="s">
        <v>29</v>
      </c>
      <c r="G36" s="3">
        <v>1</v>
      </c>
      <c r="H36" s="3">
        <v>0</v>
      </c>
      <c r="I36" s="3" t="s">
        <v>36</v>
      </c>
      <c r="J36" s="3">
        <v>1</v>
      </c>
      <c r="K36" s="3" t="s">
        <v>37</v>
      </c>
      <c r="L36" s="3" t="s">
        <v>37</v>
      </c>
      <c r="M36" s="3" t="s">
        <v>31</v>
      </c>
      <c r="N36" s="4">
        <v>0.87844775058246705</v>
      </c>
      <c r="O36" s="4">
        <v>0.22884988792091199</v>
      </c>
      <c r="P36" s="4">
        <v>0.93686355981290004</v>
      </c>
      <c r="Q36" s="5">
        <v>0.51480000000000004</v>
      </c>
      <c r="R36" s="6" t="s">
        <v>110</v>
      </c>
      <c r="S36" s="3">
        <v>0</v>
      </c>
      <c r="T36" s="3" t="s">
        <v>82</v>
      </c>
      <c r="U36" s="3" t="s">
        <v>82</v>
      </c>
      <c r="V36" s="8">
        <v>8.5286248213835902E-2</v>
      </c>
      <c r="W36" s="8">
        <v>0.12792937232075299</v>
      </c>
      <c r="X36" s="8">
        <v>0.165318364102163</v>
      </c>
      <c r="Y36" s="8">
        <v>0</v>
      </c>
      <c r="Z36" s="8">
        <v>0</v>
      </c>
      <c r="AA36" s="8">
        <v>2.7110050001090701E-3</v>
      </c>
      <c r="AB36" s="8">
        <v>1.2990081122869901E-2</v>
      </c>
      <c r="AC36" s="8">
        <v>3.0311440051911099E-2</v>
      </c>
      <c r="AD36" s="8">
        <v>4.6012526174890073E-2</v>
      </c>
    </row>
    <row r="37" spans="1:30" x14ac:dyDescent="0.3">
      <c r="A37" s="2">
        <v>67</v>
      </c>
      <c r="B37" s="2" t="s">
        <v>114</v>
      </c>
      <c r="C37" s="2" t="s">
        <v>8</v>
      </c>
      <c r="D37" s="2" t="s">
        <v>57</v>
      </c>
      <c r="E37" s="3">
        <v>1</v>
      </c>
      <c r="F37" s="3" t="s">
        <v>29</v>
      </c>
      <c r="G37" s="3">
        <v>1</v>
      </c>
      <c r="H37" s="3">
        <v>0</v>
      </c>
      <c r="I37" s="3" t="s">
        <v>36</v>
      </c>
      <c r="J37" s="3">
        <v>1</v>
      </c>
      <c r="K37" s="3" t="s">
        <v>32</v>
      </c>
      <c r="L37" s="3" t="s">
        <v>31</v>
      </c>
      <c r="M37" s="3" t="s">
        <v>31</v>
      </c>
      <c r="N37" s="4">
        <v>0.89581295519192705</v>
      </c>
      <c r="O37" s="4">
        <v>0.23786300627404999</v>
      </c>
      <c r="P37" s="4">
        <v>0.96196429730461097</v>
      </c>
      <c r="Q37" s="5">
        <v>0.54949999999999999</v>
      </c>
      <c r="R37" s="6" t="s">
        <v>110</v>
      </c>
      <c r="S37" s="3">
        <v>0</v>
      </c>
      <c r="T37" s="3" t="s">
        <v>82</v>
      </c>
      <c r="U37" s="3" t="s">
        <v>82</v>
      </c>
      <c r="V37" s="8">
        <v>8.6149500354380598E-2</v>
      </c>
      <c r="W37" s="8">
        <v>0.12922425053157</v>
      </c>
      <c r="X37" s="8">
        <v>2.8683815797042201E-2</v>
      </c>
      <c r="Y37" s="8">
        <v>0</v>
      </c>
      <c r="Z37" s="8">
        <v>0</v>
      </c>
      <c r="AA37" s="8">
        <v>2.60614101652854E-3</v>
      </c>
      <c r="AB37" s="8">
        <v>3.2660338350653699E-3</v>
      </c>
      <c r="AC37" s="8">
        <v>5.8418875075722902E-2</v>
      </c>
      <c r="AD37" s="8">
        <v>6.429104992731681E-2</v>
      </c>
    </row>
    <row r="38" spans="1:30" x14ac:dyDescent="0.3">
      <c r="A38" s="2">
        <v>68</v>
      </c>
      <c r="B38" s="2" t="s">
        <v>138</v>
      </c>
      <c r="C38" s="2" t="s">
        <v>8</v>
      </c>
      <c r="D38" s="2" t="s">
        <v>58</v>
      </c>
      <c r="E38" s="3">
        <v>1</v>
      </c>
      <c r="F38" s="3" t="s">
        <v>29</v>
      </c>
      <c r="G38" s="3">
        <v>1</v>
      </c>
      <c r="H38" s="3">
        <v>0</v>
      </c>
      <c r="I38" s="3" t="s">
        <v>36</v>
      </c>
      <c r="J38" s="3">
        <v>1</v>
      </c>
      <c r="K38" s="3" t="s">
        <v>32</v>
      </c>
      <c r="L38" s="3" t="s">
        <v>31</v>
      </c>
      <c r="M38" s="3" t="s">
        <v>30</v>
      </c>
      <c r="N38" s="4">
        <v>1.45745772866293</v>
      </c>
      <c r="O38" s="4">
        <v>0.48085428395563001</v>
      </c>
      <c r="P38" s="4">
        <v>1.4907328131874</v>
      </c>
      <c r="Q38" s="5">
        <v>0.59150000000000003</v>
      </c>
      <c r="R38" s="6" t="s">
        <v>137</v>
      </c>
      <c r="S38" s="3">
        <v>1</v>
      </c>
      <c r="T38" s="3" t="s">
        <v>82</v>
      </c>
      <c r="U38" s="3" t="s">
        <v>82</v>
      </c>
      <c r="V38" s="8">
        <v>8.1785550817855504E-2</v>
      </c>
      <c r="W38" s="8">
        <v>0.122678326226783</v>
      </c>
      <c r="X38" s="8">
        <v>0</v>
      </c>
      <c r="Y38" s="8">
        <v>0</v>
      </c>
      <c r="Z38" s="8">
        <v>0</v>
      </c>
      <c r="AA38" s="8">
        <v>0.238908855888809</v>
      </c>
      <c r="AB38" s="8">
        <v>0</v>
      </c>
      <c r="AC38" s="8">
        <v>0.59726048703053702</v>
      </c>
      <c r="AD38" s="8">
        <v>0.83616934291934597</v>
      </c>
    </row>
    <row r="39" spans="1:30" x14ac:dyDescent="0.3">
      <c r="A39" s="2">
        <v>69</v>
      </c>
      <c r="B39" s="2" t="s">
        <v>176</v>
      </c>
      <c r="C39" s="2" t="s">
        <v>8</v>
      </c>
      <c r="D39" s="2" t="s">
        <v>166</v>
      </c>
      <c r="E39" s="3">
        <v>1</v>
      </c>
      <c r="F39" s="3" t="s">
        <v>29</v>
      </c>
      <c r="G39" s="3">
        <v>1</v>
      </c>
      <c r="H39" s="3">
        <v>0</v>
      </c>
      <c r="I39" s="3" t="s">
        <v>36</v>
      </c>
      <c r="J39" s="3">
        <v>1</v>
      </c>
      <c r="K39" s="3" t="s">
        <v>37</v>
      </c>
      <c r="L39" s="11" t="s">
        <v>31</v>
      </c>
      <c r="M39" s="3" t="s">
        <v>30</v>
      </c>
      <c r="N39" s="4">
        <v>1.95378909364188</v>
      </c>
      <c r="O39" s="4">
        <v>0.82036526663406695</v>
      </c>
      <c r="P39" s="4">
        <v>2.5222958406240701</v>
      </c>
      <c r="Q39" s="5">
        <v>0.54330000000000001</v>
      </c>
      <c r="S39" s="3">
        <v>1</v>
      </c>
      <c r="T39" s="3" t="s">
        <v>82</v>
      </c>
      <c r="U39" s="3" t="s">
        <v>82</v>
      </c>
      <c r="V39" s="8">
        <v>7.4038403393445196E-2</v>
      </c>
      <c r="W39" s="8">
        <v>0.111057605090167</v>
      </c>
      <c r="X39" s="8">
        <v>0</v>
      </c>
      <c r="Y39" s="8">
        <v>0</v>
      </c>
      <c r="Z39" s="8">
        <v>0</v>
      </c>
      <c r="AA39" s="8">
        <v>0.65040701715784099</v>
      </c>
      <c r="AB39" s="8">
        <v>0</v>
      </c>
      <c r="AC39" s="8">
        <v>0.37066876960933198</v>
      </c>
      <c r="AD39" s="8">
        <v>1.0210999999999999</v>
      </c>
    </row>
    <row r="40" spans="1:30" x14ac:dyDescent="0.3">
      <c r="A40" s="2">
        <v>70</v>
      </c>
      <c r="B40" s="2" t="s">
        <v>149</v>
      </c>
      <c r="C40" s="2" t="s">
        <v>8</v>
      </c>
      <c r="D40" s="2" t="s">
        <v>167</v>
      </c>
      <c r="E40" s="3">
        <v>1</v>
      </c>
      <c r="F40" s="3" t="s">
        <v>29</v>
      </c>
      <c r="G40" s="3">
        <v>1</v>
      </c>
      <c r="H40" s="3">
        <v>0</v>
      </c>
      <c r="I40" s="3" t="s">
        <v>34</v>
      </c>
      <c r="J40" s="3">
        <v>1</v>
      </c>
      <c r="K40" s="3" t="s">
        <v>31</v>
      </c>
      <c r="L40" s="3" t="s">
        <v>31</v>
      </c>
      <c r="M40" s="3" t="s">
        <v>30</v>
      </c>
      <c r="N40" s="4">
        <v>0.87762319620121299</v>
      </c>
      <c r="O40" s="4">
        <v>0.231724679776069</v>
      </c>
      <c r="P40" s="4">
        <v>0.89267237678572398</v>
      </c>
      <c r="Q40" s="5">
        <v>0.55330000000000001</v>
      </c>
      <c r="S40" s="3">
        <v>0</v>
      </c>
      <c r="T40" s="3" t="s">
        <v>82</v>
      </c>
      <c r="U40" s="3" t="s">
        <v>82</v>
      </c>
      <c r="V40" s="8">
        <v>8.6243675760395905E-2</v>
      </c>
      <c r="W40" s="8">
        <v>0.12936551364059301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0.75746103836228396</v>
      </c>
      <c r="AD40" s="8">
        <v>0.75746103836228396</v>
      </c>
    </row>
    <row r="41" spans="1:30" x14ac:dyDescent="0.3">
      <c r="A41" s="2">
        <v>71</v>
      </c>
      <c r="B41" s="2" t="s">
        <v>151</v>
      </c>
      <c r="C41" s="2" t="s">
        <v>8</v>
      </c>
      <c r="D41" s="2" t="s">
        <v>168</v>
      </c>
      <c r="E41" s="3">
        <v>1</v>
      </c>
      <c r="F41" s="3" t="s">
        <v>29</v>
      </c>
      <c r="G41" s="3">
        <v>1</v>
      </c>
      <c r="H41" s="3">
        <v>1</v>
      </c>
      <c r="I41" s="3" t="s">
        <v>36</v>
      </c>
      <c r="J41" s="3">
        <v>0</v>
      </c>
      <c r="K41" s="3" t="s">
        <v>31</v>
      </c>
      <c r="L41" s="3" t="s">
        <v>31</v>
      </c>
      <c r="M41" s="3" t="s">
        <v>31</v>
      </c>
      <c r="N41" s="4">
        <v>0.887058748375816</v>
      </c>
      <c r="O41" s="4">
        <v>0.23199479130483699</v>
      </c>
      <c r="P41" s="4">
        <v>0.95122333760959499</v>
      </c>
      <c r="Q41" s="5">
        <v>0.53010000000000002</v>
      </c>
      <c r="S41" s="3">
        <v>0</v>
      </c>
      <c r="T41" s="3" t="s">
        <v>82</v>
      </c>
      <c r="U41" s="3" t="s">
        <v>82</v>
      </c>
      <c r="V41" s="8">
        <v>8.6243675760395905E-2</v>
      </c>
      <c r="W41" s="8">
        <v>0.12936551364059301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0.16121054552610001</v>
      </c>
      <c r="AD41" s="8">
        <v>0.16121054552610001</v>
      </c>
    </row>
    <row r="42" spans="1:30" x14ac:dyDescent="0.3">
      <c r="A42" s="2">
        <v>72</v>
      </c>
      <c r="B42" s="2" t="s">
        <v>85</v>
      </c>
      <c r="C42" s="2" t="s">
        <v>9</v>
      </c>
      <c r="D42" s="2" t="s">
        <v>18</v>
      </c>
      <c r="E42" s="3">
        <v>1</v>
      </c>
      <c r="F42" s="3" t="s">
        <v>29</v>
      </c>
      <c r="G42" s="3">
        <v>1</v>
      </c>
      <c r="H42" s="3">
        <v>0</v>
      </c>
      <c r="I42" s="3" t="s">
        <v>36</v>
      </c>
      <c r="J42" s="3">
        <v>1</v>
      </c>
      <c r="K42" s="3" t="s">
        <v>37</v>
      </c>
      <c r="L42" s="3" t="s">
        <v>37</v>
      </c>
      <c r="M42" s="3" t="s">
        <v>31</v>
      </c>
      <c r="N42" s="4">
        <v>0.86344734825851899</v>
      </c>
      <c r="O42" s="4">
        <v>0.23077709298066701</v>
      </c>
      <c r="P42" s="4">
        <v>0.93019627719618903</v>
      </c>
      <c r="Q42" s="5">
        <v>0.58740000000000003</v>
      </c>
      <c r="S42" s="3">
        <v>0</v>
      </c>
      <c r="T42" s="3" t="s">
        <v>82</v>
      </c>
      <c r="U42" s="3" t="s">
        <v>82</v>
      </c>
      <c r="V42" s="8">
        <v>9.4551284414900599E-2</v>
      </c>
      <c r="W42" s="8">
        <v>0.12936551364059301</v>
      </c>
      <c r="X42" s="8">
        <v>0</v>
      </c>
      <c r="Y42" s="8">
        <v>0</v>
      </c>
      <c r="Z42" s="8">
        <v>8.3076086545046494E-3</v>
      </c>
      <c r="AA42" s="8">
        <v>0</v>
      </c>
      <c r="AB42" s="8">
        <v>5.7500450206072901E-7</v>
      </c>
      <c r="AC42" s="8">
        <v>1.5720369322090801E-3</v>
      </c>
      <c r="AD42" s="8">
        <v>1.5726119367111407E-3</v>
      </c>
    </row>
    <row r="43" spans="1:30" x14ac:dyDescent="0.3">
      <c r="A43" s="2">
        <v>73</v>
      </c>
      <c r="B43" s="2" t="s">
        <v>89</v>
      </c>
      <c r="C43" s="2" t="s">
        <v>9</v>
      </c>
      <c r="D43" s="2" t="s">
        <v>19</v>
      </c>
      <c r="E43" s="3">
        <v>1</v>
      </c>
      <c r="F43" s="3" t="s">
        <v>29</v>
      </c>
      <c r="G43" s="3">
        <v>1</v>
      </c>
      <c r="H43" s="3">
        <v>0</v>
      </c>
      <c r="I43" s="3" t="s">
        <v>36</v>
      </c>
      <c r="J43" s="3">
        <v>1</v>
      </c>
      <c r="K43" s="3" t="s">
        <v>31</v>
      </c>
      <c r="L43" s="3" t="s">
        <v>37</v>
      </c>
      <c r="M43" s="3" t="s">
        <v>31</v>
      </c>
      <c r="N43" s="4">
        <v>0.89590872237894803</v>
      </c>
      <c r="O43" s="4">
        <v>0.235077198812011</v>
      </c>
      <c r="P43" s="4">
        <v>0.962914291171586</v>
      </c>
      <c r="Q43" s="5">
        <v>0.57369999999999999</v>
      </c>
      <c r="S43" s="3">
        <v>1</v>
      </c>
      <c r="T43" s="3" t="s">
        <v>82</v>
      </c>
      <c r="U43" s="3" t="s">
        <v>82</v>
      </c>
      <c r="V43" s="8">
        <v>0.12794186837125501</v>
      </c>
      <c r="W43" s="8">
        <v>0.12936551364059301</v>
      </c>
      <c r="X43" s="8">
        <v>0</v>
      </c>
      <c r="Y43" s="8">
        <v>0</v>
      </c>
      <c r="Z43" s="8">
        <v>4.16981926108594E-2</v>
      </c>
      <c r="AA43" s="8">
        <v>0</v>
      </c>
      <c r="AB43" s="8">
        <v>4.7057608851045097E-6</v>
      </c>
      <c r="AC43" s="8">
        <v>3.4749372777766398E-3</v>
      </c>
      <c r="AD43" s="8">
        <v>3.479643038661745E-3</v>
      </c>
    </row>
    <row r="44" spans="1:30" x14ac:dyDescent="0.3">
      <c r="A44" s="2">
        <v>74</v>
      </c>
      <c r="B44" s="2" t="s">
        <v>92</v>
      </c>
      <c r="C44" s="2" t="s">
        <v>9</v>
      </c>
      <c r="D44" s="2" t="s">
        <v>20</v>
      </c>
      <c r="E44" s="3">
        <v>1</v>
      </c>
      <c r="F44" s="3" t="s">
        <v>29</v>
      </c>
      <c r="G44" s="3">
        <v>1</v>
      </c>
      <c r="H44" s="3">
        <v>0</v>
      </c>
      <c r="I44" s="3" t="s">
        <v>36</v>
      </c>
      <c r="J44" s="3">
        <v>1</v>
      </c>
      <c r="K44" s="3" t="s">
        <v>31</v>
      </c>
      <c r="L44" s="3" t="s">
        <v>37</v>
      </c>
      <c r="M44" s="3" t="s">
        <v>37</v>
      </c>
      <c r="N44" s="4">
        <v>0.87606117294665098</v>
      </c>
      <c r="O44" s="4">
        <v>0.231026332660594</v>
      </c>
      <c r="P44" s="4">
        <v>0.92902807703365897</v>
      </c>
      <c r="Q44" s="5">
        <v>0.57340000000000002</v>
      </c>
      <c r="S44" s="3">
        <v>1</v>
      </c>
      <c r="T44" s="3" t="s">
        <v>82</v>
      </c>
      <c r="U44" s="3" t="s">
        <v>82</v>
      </c>
      <c r="V44" s="8">
        <v>8.6243103606362295E-2</v>
      </c>
      <c r="W44" s="8">
        <v>0.12936465540954301</v>
      </c>
      <c r="X44" s="8">
        <v>2.9497959478653E-2</v>
      </c>
      <c r="Y44" s="8">
        <v>0</v>
      </c>
      <c r="Z44" s="8">
        <v>0</v>
      </c>
      <c r="AA44" s="8">
        <v>5.7371191508643298E-5</v>
      </c>
      <c r="AB44" s="8">
        <v>2.3506673511150899E-7</v>
      </c>
      <c r="AC44" s="8">
        <v>1.6521432140010901E-3</v>
      </c>
      <c r="AD44" s="8">
        <v>1.7097494722448439E-3</v>
      </c>
    </row>
    <row r="45" spans="1:30" x14ac:dyDescent="0.3">
      <c r="A45" s="2">
        <v>75</v>
      </c>
      <c r="B45" s="2" t="s">
        <v>97</v>
      </c>
      <c r="C45" s="2" t="s">
        <v>9</v>
      </c>
      <c r="D45" s="2" t="s">
        <v>21</v>
      </c>
      <c r="E45" s="3">
        <v>1</v>
      </c>
      <c r="F45" s="3" t="s">
        <v>29</v>
      </c>
      <c r="G45" s="3">
        <v>1</v>
      </c>
      <c r="H45" s="3">
        <v>1</v>
      </c>
      <c r="I45" s="3" t="s">
        <v>36</v>
      </c>
      <c r="J45" s="3">
        <v>1</v>
      </c>
      <c r="K45" s="3" t="s">
        <v>37</v>
      </c>
      <c r="L45" s="3" t="s">
        <v>37</v>
      </c>
      <c r="M45" s="3" t="s">
        <v>31</v>
      </c>
      <c r="N45" s="4">
        <v>0.87392315034929502</v>
      </c>
      <c r="O45" s="4">
        <v>0.23178006002512999</v>
      </c>
      <c r="P45" s="4">
        <v>0.93376729370840295</v>
      </c>
      <c r="Q45" s="5">
        <v>0.58579999999999999</v>
      </c>
      <c r="S45" s="3">
        <v>1</v>
      </c>
      <c r="T45" s="3" t="s">
        <v>82</v>
      </c>
      <c r="U45" s="3" t="s">
        <v>82</v>
      </c>
      <c r="V45" s="8">
        <v>8.6246762616065703E-2</v>
      </c>
      <c r="W45" s="8">
        <v>0.12937014392409801</v>
      </c>
      <c r="X45" s="8">
        <v>0.14748979739326501</v>
      </c>
      <c r="Y45" s="8">
        <v>0</v>
      </c>
      <c r="Z45" s="8">
        <v>0</v>
      </c>
      <c r="AA45" s="8">
        <v>8.1184453891828298E-4</v>
      </c>
      <c r="AB45" s="8">
        <v>1.68951734016898E-6</v>
      </c>
      <c r="AC45" s="8">
        <v>4.7099606882422297E-3</v>
      </c>
      <c r="AD45" s="8">
        <v>5.5234947445006732E-3</v>
      </c>
    </row>
    <row r="46" spans="1:30" x14ac:dyDescent="0.3">
      <c r="A46" s="2">
        <v>76</v>
      </c>
      <c r="B46" s="2" t="s">
        <v>158</v>
      </c>
      <c r="C46" s="2" t="s">
        <v>9</v>
      </c>
      <c r="D46" s="2" t="s">
        <v>22</v>
      </c>
      <c r="E46" s="3">
        <v>1</v>
      </c>
      <c r="F46" s="3" t="s">
        <v>29</v>
      </c>
      <c r="G46" s="3">
        <v>2</v>
      </c>
      <c r="H46" s="3">
        <v>0</v>
      </c>
      <c r="I46" s="3" t="s">
        <v>36</v>
      </c>
      <c r="J46" s="3">
        <v>1</v>
      </c>
      <c r="K46" s="3" t="s">
        <v>37</v>
      </c>
      <c r="L46" s="3" t="s">
        <v>37</v>
      </c>
      <c r="M46" s="3" t="s">
        <v>31</v>
      </c>
      <c r="N46" s="4">
        <v>0.88723577826508404</v>
      </c>
      <c r="O46" s="4">
        <v>0.232012509131584</v>
      </c>
      <c r="P46" s="4">
        <v>0.95377974265973198</v>
      </c>
      <c r="Q46" s="5">
        <v>0.60329999999999995</v>
      </c>
      <c r="S46" s="3">
        <v>1</v>
      </c>
      <c r="T46" s="3" t="s">
        <v>82</v>
      </c>
      <c r="U46" s="3" t="s">
        <v>101</v>
      </c>
      <c r="V46" s="8">
        <v>8.6342270455259398E-2</v>
      </c>
      <c r="W46" s="8">
        <v>0.13568071071540699</v>
      </c>
      <c r="X46" s="8">
        <v>0</v>
      </c>
      <c r="Y46" s="8">
        <v>8.3333333333333301E-2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</row>
    <row r="47" spans="1:30" x14ac:dyDescent="0.3">
      <c r="A47" s="2">
        <v>77</v>
      </c>
      <c r="B47" s="2" t="s">
        <v>171</v>
      </c>
      <c r="C47" s="2" t="s">
        <v>9</v>
      </c>
      <c r="D47" s="2" t="s">
        <v>23</v>
      </c>
      <c r="E47" s="3">
        <v>1</v>
      </c>
      <c r="F47" s="3" t="s">
        <v>29</v>
      </c>
      <c r="G47" s="3">
        <v>1</v>
      </c>
      <c r="H47" s="3">
        <v>0</v>
      </c>
      <c r="I47" s="3" t="s">
        <v>36</v>
      </c>
      <c r="J47" s="3">
        <v>1</v>
      </c>
      <c r="K47" s="3" t="s">
        <v>31</v>
      </c>
      <c r="L47" s="3" t="s">
        <v>37</v>
      </c>
      <c r="M47" s="3" t="s">
        <v>31</v>
      </c>
      <c r="N47" s="4">
        <v>0.88757292934031295</v>
      </c>
      <c r="O47" s="4">
        <v>0.230817890140116</v>
      </c>
      <c r="P47" s="4">
        <v>0.96025267124899305</v>
      </c>
      <c r="Q47" s="5">
        <v>0.57369999999999999</v>
      </c>
      <c r="S47" s="3">
        <v>1</v>
      </c>
      <c r="T47" s="3" t="s">
        <v>82</v>
      </c>
      <c r="U47" s="3" t="s">
        <v>82</v>
      </c>
      <c r="V47" s="8">
        <v>9.4976497500785295E-2</v>
      </c>
      <c r="W47" s="8">
        <v>0.13568071071540699</v>
      </c>
      <c r="X47" s="8">
        <v>0</v>
      </c>
      <c r="Y47" s="8">
        <f>1/6</f>
        <v>0.16666666666666666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</row>
    <row r="48" spans="1:30" x14ac:dyDescent="0.3">
      <c r="A48" s="2">
        <v>78</v>
      </c>
      <c r="B48" s="2" t="s">
        <v>135</v>
      </c>
      <c r="C48" s="2" t="s">
        <v>9</v>
      </c>
      <c r="D48" s="2" t="s">
        <v>24</v>
      </c>
      <c r="E48" s="3">
        <v>1</v>
      </c>
      <c r="F48" s="3" t="s">
        <v>29</v>
      </c>
      <c r="G48" s="3">
        <v>1</v>
      </c>
      <c r="H48" s="3">
        <v>0</v>
      </c>
      <c r="I48" s="3" t="s">
        <v>36</v>
      </c>
      <c r="J48" s="3">
        <v>1</v>
      </c>
      <c r="K48" s="3" t="s">
        <v>37</v>
      </c>
      <c r="L48" s="3" t="s">
        <v>37</v>
      </c>
      <c r="M48" s="3" t="s">
        <v>31</v>
      </c>
      <c r="N48" s="4">
        <v>0.87500552273278698</v>
      </c>
      <c r="O48" s="4">
        <v>0.23047440956147899</v>
      </c>
      <c r="P48" s="4">
        <v>0.93196101626586902</v>
      </c>
      <c r="Q48" s="5">
        <v>0.55579999999999996</v>
      </c>
      <c r="S48" s="3">
        <v>1</v>
      </c>
      <c r="T48" s="3" t="s">
        <v>82</v>
      </c>
      <c r="U48" s="3" t="s">
        <v>82</v>
      </c>
      <c r="V48" s="8">
        <v>8.6255155709569306E-2</v>
      </c>
      <c r="W48" s="8">
        <v>0.12938273356435401</v>
      </c>
      <c r="X48" s="8">
        <v>4.9999041316316897E-2</v>
      </c>
      <c r="Y48" s="8">
        <v>0</v>
      </c>
      <c r="Z48" s="8">
        <v>0</v>
      </c>
      <c r="AA48" s="8">
        <v>1.40780488266386E-4</v>
      </c>
      <c r="AB48" s="8">
        <v>3.2765665492461603E-7</v>
      </c>
      <c r="AC48" s="8">
        <v>1.76219545721219E-3</v>
      </c>
      <c r="AD48" s="8">
        <v>1.9033036021335048E-3</v>
      </c>
    </row>
    <row r="49" spans="1:30" x14ac:dyDescent="0.3">
      <c r="A49" s="2">
        <v>79</v>
      </c>
      <c r="B49" s="2" t="s">
        <v>155</v>
      </c>
      <c r="C49" s="2" t="s">
        <v>9</v>
      </c>
      <c r="D49" s="2" t="s">
        <v>25</v>
      </c>
      <c r="E49" s="3">
        <v>1</v>
      </c>
      <c r="F49" s="3" t="s">
        <v>29</v>
      </c>
      <c r="G49" s="3">
        <v>1</v>
      </c>
      <c r="H49" s="3">
        <v>1</v>
      </c>
      <c r="I49" s="3" t="s">
        <v>36</v>
      </c>
      <c r="J49" s="3">
        <v>1</v>
      </c>
      <c r="K49" s="3" t="s">
        <v>31</v>
      </c>
      <c r="L49" s="3" t="s">
        <v>37</v>
      </c>
      <c r="M49" s="3" t="s">
        <v>31</v>
      </c>
      <c r="N49" s="4">
        <v>0.15847808633112101</v>
      </c>
      <c r="O49" s="4">
        <v>6.8168000462337897E-2</v>
      </c>
      <c r="P49" s="4">
        <v>0.212724147043998</v>
      </c>
      <c r="Q49" s="5">
        <v>0.55359999999999998</v>
      </c>
      <c r="S49" s="3">
        <v>1</v>
      </c>
      <c r="T49" s="3" t="s">
        <v>82</v>
      </c>
      <c r="U49" s="3" t="s">
        <v>82</v>
      </c>
      <c r="V49" s="8">
        <v>8.6238784872497906E-2</v>
      </c>
      <c r="W49" s="8">
        <v>0.12935817730874599</v>
      </c>
      <c r="X49" s="8">
        <v>0.24999963127550601</v>
      </c>
      <c r="Y49" s="8">
        <v>0</v>
      </c>
      <c r="Z49" s="8">
        <v>0</v>
      </c>
      <c r="AA49" s="8">
        <v>3.71066804932259E-4</v>
      </c>
      <c r="AB49" s="8">
        <v>1.1297334765497799E-6</v>
      </c>
      <c r="AC49" s="8">
        <v>3.4529397672654698E-3</v>
      </c>
      <c r="AD49" s="8">
        <v>3.8251363056742704E-3</v>
      </c>
    </row>
    <row r="50" spans="1:30" x14ac:dyDescent="0.3">
      <c r="A50" s="2">
        <v>80</v>
      </c>
      <c r="B50" s="2" t="s">
        <v>132</v>
      </c>
      <c r="C50" s="2" t="s">
        <v>9</v>
      </c>
      <c r="D50" s="2" t="s">
        <v>26</v>
      </c>
      <c r="E50" s="3">
        <v>1</v>
      </c>
      <c r="F50" s="3" t="s">
        <v>29</v>
      </c>
      <c r="G50" s="3">
        <v>1</v>
      </c>
      <c r="H50" s="3">
        <v>1</v>
      </c>
      <c r="I50" s="3" t="s">
        <v>36</v>
      </c>
      <c r="J50" s="3">
        <v>1</v>
      </c>
      <c r="K50" s="3" t="s">
        <v>37</v>
      </c>
      <c r="L50" s="3" t="s">
        <v>37</v>
      </c>
      <c r="M50" s="3" t="s">
        <v>31</v>
      </c>
      <c r="N50" s="4">
        <v>0.88681174793919504</v>
      </c>
      <c r="O50" s="4">
        <v>0.23235596571223899</v>
      </c>
      <c r="P50" s="4">
        <v>0.94790339005271096</v>
      </c>
      <c r="Q50" s="5">
        <v>0.56479999999999997</v>
      </c>
      <c r="R50" s="6" t="s">
        <v>130</v>
      </c>
      <c r="S50" s="3">
        <v>1</v>
      </c>
      <c r="T50" s="3" t="s">
        <v>82</v>
      </c>
      <c r="U50" s="3" t="s">
        <v>82</v>
      </c>
      <c r="V50" s="8">
        <v>7.9609546855750099E-2</v>
      </c>
      <c r="W50" s="8">
        <v>0.114991567680527</v>
      </c>
      <c r="X50" s="8">
        <v>0</v>
      </c>
      <c r="Y50" s="8">
        <v>8.3333333333333301E-2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</row>
    <row r="51" spans="1:30" x14ac:dyDescent="0.3">
      <c r="A51" s="2">
        <v>81</v>
      </c>
      <c r="B51" s="2" t="s">
        <v>174</v>
      </c>
      <c r="C51" s="2" t="s">
        <v>9</v>
      </c>
      <c r="D51" s="2" t="s">
        <v>27</v>
      </c>
      <c r="E51" s="3">
        <v>1</v>
      </c>
      <c r="F51" s="3" t="s">
        <v>29</v>
      </c>
      <c r="G51" s="3">
        <v>1</v>
      </c>
      <c r="H51" s="3">
        <v>0</v>
      </c>
      <c r="I51" s="3" t="s">
        <v>36</v>
      </c>
      <c r="J51" s="3">
        <v>1</v>
      </c>
      <c r="K51" s="3" t="s">
        <v>37</v>
      </c>
      <c r="L51" s="3" t="s">
        <v>37</v>
      </c>
      <c r="M51" s="3" t="s">
        <v>31</v>
      </c>
      <c r="N51" s="4">
        <v>0.88677609381731204</v>
      </c>
      <c r="O51" s="4">
        <v>0.23232664644357101</v>
      </c>
      <c r="P51" s="4">
        <v>0.94766695234014198</v>
      </c>
      <c r="Q51" s="5">
        <v>0.5837</v>
      </c>
      <c r="S51" s="3">
        <v>1</v>
      </c>
      <c r="T51" s="3" t="s">
        <v>82</v>
      </c>
      <c r="U51" s="3" t="s">
        <v>82</v>
      </c>
      <c r="V51" s="8">
        <v>7.9609546855750099E-2</v>
      </c>
      <c r="W51" s="8">
        <v>0.114991567680527</v>
      </c>
      <c r="X51" s="8">
        <v>0</v>
      </c>
      <c r="Y51" s="8">
        <f>1/12</f>
        <v>8.3333333333333329E-2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</row>
    <row r="52" spans="1:30" x14ac:dyDescent="0.3">
      <c r="A52" s="2">
        <v>82</v>
      </c>
      <c r="B52" s="2" t="s">
        <v>122</v>
      </c>
      <c r="C52" s="2" t="s">
        <v>9</v>
      </c>
      <c r="D52" s="2" t="s">
        <v>52</v>
      </c>
      <c r="E52" s="3">
        <v>1</v>
      </c>
      <c r="F52" s="3" t="s">
        <v>29</v>
      </c>
      <c r="G52" s="3">
        <v>2</v>
      </c>
      <c r="H52" s="3">
        <v>0</v>
      </c>
      <c r="I52" s="3" t="s">
        <v>36</v>
      </c>
      <c r="J52" s="3">
        <v>1</v>
      </c>
      <c r="K52" s="3" t="s">
        <v>37</v>
      </c>
      <c r="L52" s="3" t="s">
        <v>37</v>
      </c>
      <c r="M52" s="3" t="s">
        <v>31</v>
      </c>
      <c r="N52" s="4">
        <v>0.88681174793919504</v>
      </c>
      <c r="O52" s="4">
        <v>0.23235596571223899</v>
      </c>
      <c r="P52" s="4">
        <v>0.94809367747238904</v>
      </c>
      <c r="Q52" s="5">
        <v>0.59630000000000005</v>
      </c>
      <c r="R52" s="6" t="s">
        <v>123</v>
      </c>
      <c r="S52" s="3">
        <v>1</v>
      </c>
      <c r="T52" s="3" t="s">
        <v>82</v>
      </c>
      <c r="U52" s="3" t="s">
        <v>101</v>
      </c>
      <c r="V52" s="8">
        <v>8.6243675760395905E-2</v>
      </c>
      <c r="W52" s="8">
        <v>0.12936551364059301</v>
      </c>
      <c r="X52" s="8">
        <v>0</v>
      </c>
      <c r="Y52" s="8">
        <v>0</v>
      </c>
      <c r="Z52" s="8">
        <v>0</v>
      </c>
      <c r="AA52" s="8">
        <v>0</v>
      </c>
      <c r="AB52" s="8">
        <v>2.20445512039383E-3</v>
      </c>
      <c r="AC52" s="8">
        <v>7.12133008843795E-3</v>
      </c>
      <c r="AD52" s="8">
        <v>9.3257852088317796E-3</v>
      </c>
    </row>
    <row r="53" spans="1:30" x14ac:dyDescent="0.3">
      <c r="A53" s="2">
        <v>83</v>
      </c>
      <c r="B53" s="2" t="s">
        <v>128</v>
      </c>
      <c r="C53" s="2" t="s">
        <v>9</v>
      </c>
      <c r="D53" s="2" t="s">
        <v>53</v>
      </c>
      <c r="E53" s="3">
        <v>1</v>
      </c>
      <c r="F53" s="3" t="s">
        <v>29</v>
      </c>
      <c r="G53" s="3">
        <v>2</v>
      </c>
      <c r="H53" s="3">
        <v>1</v>
      </c>
      <c r="I53" s="3" t="s">
        <v>36</v>
      </c>
      <c r="J53" s="3">
        <v>1</v>
      </c>
      <c r="K53" s="3" t="s">
        <v>37</v>
      </c>
      <c r="L53" s="3" t="s">
        <v>37</v>
      </c>
      <c r="M53" s="3" t="s">
        <v>31</v>
      </c>
      <c r="N53" s="4">
        <v>0.78343794816583601</v>
      </c>
      <c r="O53" s="4">
        <v>0.20582546786079201</v>
      </c>
      <c r="P53" s="4">
        <v>0.82305314524046602</v>
      </c>
      <c r="Q53" s="5">
        <v>0.58430000000000004</v>
      </c>
      <c r="R53" s="6" t="s">
        <v>123</v>
      </c>
      <c r="S53" s="3">
        <v>1</v>
      </c>
      <c r="T53" s="3" t="s">
        <v>82</v>
      </c>
      <c r="U53" s="3" t="s">
        <v>101</v>
      </c>
      <c r="V53" s="8">
        <v>8.6243675760395905E-2</v>
      </c>
      <c r="W53" s="8">
        <v>0.12936551364059301</v>
      </c>
      <c r="X53" s="8">
        <v>0</v>
      </c>
      <c r="Y53" s="8">
        <v>0</v>
      </c>
      <c r="Z53" s="8">
        <v>0</v>
      </c>
      <c r="AA53" s="8">
        <v>0</v>
      </c>
      <c r="AB53" s="8">
        <v>6.4164629100946105E-4</v>
      </c>
      <c r="AC53" s="8">
        <v>6.6E-3</v>
      </c>
      <c r="AD53" s="8">
        <v>7.2416462910094613E-3</v>
      </c>
    </row>
    <row r="54" spans="1:30" x14ac:dyDescent="0.3">
      <c r="A54" s="2">
        <v>84</v>
      </c>
      <c r="B54" s="2" t="s">
        <v>100</v>
      </c>
      <c r="C54" s="2" t="s">
        <v>9</v>
      </c>
      <c r="D54" s="2" t="s">
        <v>54</v>
      </c>
      <c r="E54" s="3">
        <v>1</v>
      </c>
      <c r="F54" s="3" t="s">
        <v>29</v>
      </c>
      <c r="G54" s="3">
        <v>3</v>
      </c>
      <c r="H54" s="3">
        <v>1</v>
      </c>
      <c r="I54" s="3" t="s">
        <v>36</v>
      </c>
      <c r="J54" s="3">
        <v>1</v>
      </c>
      <c r="K54" s="3" t="s">
        <v>31</v>
      </c>
      <c r="L54" s="3" t="s">
        <v>37</v>
      </c>
      <c r="M54" s="3" t="s">
        <v>31</v>
      </c>
      <c r="N54" s="4">
        <v>1.41757553284434</v>
      </c>
      <c r="O54" s="4">
        <v>0.48673328089697099</v>
      </c>
      <c r="P54" s="4">
        <v>1.79029370546853</v>
      </c>
      <c r="Q54" s="5">
        <v>0.60780000000000001</v>
      </c>
      <c r="R54" s="6" t="s">
        <v>102</v>
      </c>
      <c r="S54" s="3">
        <v>1</v>
      </c>
      <c r="T54" s="3" t="s">
        <v>82</v>
      </c>
      <c r="U54" s="3" t="s">
        <v>101</v>
      </c>
      <c r="V54" s="8">
        <v>8.2266613373686501E-2</v>
      </c>
      <c r="W54" s="8">
        <v>0.12339992006052899</v>
      </c>
      <c r="X54" s="8">
        <v>0</v>
      </c>
      <c r="Y54" s="8">
        <v>0</v>
      </c>
      <c r="Z54" s="8">
        <v>0</v>
      </c>
      <c r="AA54" s="8">
        <v>0.209277892505145</v>
      </c>
      <c r="AB54" s="8">
        <v>0</v>
      </c>
      <c r="AC54" s="8">
        <v>5.74467823236278E-2</v>
      </c>
      <c r="AD54" s="8">
        <v>0.26672467482877282</v>
      </c>
    </row>
    <row r="55" spans="1:30" x14ac:dyDescent="0.3">
      <c r="A55" s="2">
        <v>85</v>
      </c>
      <c r="B55" s="2" t="s">
        <v>107</v>
      </c>
      <c r="C55" s="2" t="s">
        <v>9</v>
      </c>
      <c r="D55" s="2" t="s">
        <v>55</v>
      </c>
      <c r="E55" s="3">
        <v>1</v>
      </c>
      <c r="F55" s="3" t="s">
        <v>29</v>
      </c>
      <c r="G55" s="3">
        <v>2</v>
      </c>
      <c r="H55" s="3">
        <v>0</v>
      </c>
      <c r="I55" s="3" t="s">
        <v>36</v>
      </c>
      <c r="J55" s="3">
        <v>1</v>
      </c>
      <c r="K55" s="3" t="s">
        <v>37</v>
      </c>
      <c r="L55" s="3" t="s">
        <v>37</v>
      </c>
      <c r="M55" s="3" t="s">
        <v>31</v>
      </c>
      <c r="N55" s="12">
        <v>2.3131150808137702</v>
      </c>
      <c r="O55" s="12">
        <v>1.1316789111299299</v>
      </c>
      <c r="P55" s="12">
        <v>3.4250717449983599</v>
      </c>
      <c r="Q55" s="5">
        <v>0.60650000000000004</v>
      </c>
      <c r="R55" s="6" t="s">
        <v>108</v>
      </c>
      <c r="S55" s="3">
        <v>1</v>
      </c>
      <c r="T55" s="3" t="s">
        <v>82</v>
      </c>
      <c r="U55" s="3" t="s">
        <v>101</v>
      </c>
      <c r="V55" s="8">
        <v>7.0456244939256299E-2</v>
      </c>
      <c r="W55" s="8">
        <v>0.105684367408884</v>
      </c>
      <c r="X55" s="8">
        <v>0</v>
      </c>
      <c r="Y55" s="8">
        <v>0</v>
      </c>
      <c r="Z55" s="8">
        <v>0</v>
      </c>
      <c r="AA55" s="8">
        <v>0.83025664565570201</v>
      </c>
      <c r="AB55" s="8">
        <v>0</v>
      </c>
      <c r="AC55" s="8">
        <v>0.10736235032364901</v>
      </c>
      <c r="AD55" s="8">
        <v>0.93761899597935106</v>
      </c>
    </row>
    <row r="56" spans="1:30" x14ac:dyDescent="0.3">
      <c r="A56" s="2">
        <v>86</v>
      </c>
      <c r="B56" s="2" t="s">
        <v>112</v>
      </c>
      <c r="C56" s="2" t="s">
        <v>9</v>
      </c>
      <c r="D56" s="2" t="s">
        <v>56</v>
      </c>
      <c r="E56" s="3">
        <v>1</v>
      </c>
      <c r="F56" s="3" t="s">
        <v>29</v>
      </c>
      <c r="G56" s="3">
        <v>1</v>
      </c>
      <c r="H56" s="3">
        <v>1</v>
      </c>
      <c r="I56" s="3" t="s">
        <v>36</v>
      </c>
      <c r="J56" s="3">
        <v>1</v>
      </c>
      <c r="K56" s="3" t="s">
        <v>31</v>
      </c>
      <c r="L56" s="3" t="s">
        <v>37</v>
      </c>
      <c r="M56" s="3" t="s">
        <v>31</v>
      </c>
      <c r="N56" s="4">
        <v>0.87844775058246705</v>
      </c>
      <c r="O56" s="4">
        <v>0.22884988792091199</v>
      </c>
      <c r="P56" s="4">
        <v>0.93686355981290004</v>
      </c>
      <c r="Q56" s="5">
        <v>0.57850000000000001</v>
      </c>
      <c r="R56" s="6" t="s">
        <v>110</v>
      </c>
      <c r="S56" s="3">
        <v>0</v>
      </c>
      <c r="T56" s="3" t="s">
        <v>82</v>
      </c>
      <c r="U56" s="3" t="s">
        <v>82</v>
      </c>
      <c r="V56" s="8">
        <v>8.5286248213835902E-2</v>
      </c>
      <c r="W56" s="8">
        <v>0.12792937232075299</v>
      </c>
      <c r="X56" s="8">
        <v>0.165318364102163</v>
      </c>
      <c r="Y56" s="8">
        <v>0</v>
      </c>
      <c r="Z56" s="8">
        <v>0</v>
      </c>
      <c r="AA56" s="8">
        <v>2.7110050001090701E-3</v>
      </c>
      <c r="AB56" s="8">
        <v>1.2990081122869901E-2</v>
      </c>
      <c r="AC56" s="8">
        <v>3.0311440051911099E-2</v>
      </c>
      <c r="AD56" s="8">
        <v>4.6012526174890073E-2</v>
      </c>
    </row>
    <row r="57" spans="1:30" x14ac:dyDescent="0.3">
      <c r="A57" s="2">
        <v>87</v>
      </c>
      <c r="B57" s="2" t="s">
        <v>115</v>
      </c>
      <c r="C57" s="2" t="s">
        <v>9</v>
      </c>
      <c r="D57" s="2" t="s">
        <v>57</v>
      </c>
      <c r="E57" s="3">
        <v>1</v>
      </c>
      <c r="F57" s="3" t="s">
        <v>29</v>
      </c>
      <c r="G57" s="3">
        <v>1</v>
      </c>
      <c r="H57" s="3">
        <v>1</v>
      </c>
      <c r="I57" s="3" t="s">
        <v>36</v>
      </c>
      <c r="J57" s="3">
        <v>1</v>
      </c>
      <c r="K57" s="3" t="s">
        <v>31</v>
      </c>
      <c r="L57" s="3" t="s">
        <v>37</v>
      </c>
      <c r="M57" s="3" t="s">
        <v>31</v>
      </c>
      <c r="N57" s="4">
        <v>0.89573696125634195</v>
      </c>
      <c r="O57" s="4">
        <v>0.238344376687953</v>
      </c>
      <c r="P57" s="4">
        <v>0.961795709313499</v>
      </c>
      <c r="Q57" s="5">
        <v>0.56069999999999998</v>
      </c>
      <c r="R57" s="6" t="s">
        <v>116</v>
      </c>
      <c r="S57" s="3">
        <v>1</v>
      </c>
      <c r="T57" s="3" t="s">
        <v>82</v>
      </c>
      <c r="U57" s="3" t="s">
        <v>82</v>
      </c>
      <c r="V57" s="8">
        <v>8.6149500354380598E-2</v>
      </c>
      <c r="W57" s="8">
        <v>0.12922425053157</v>
      </c>
      <c r="X57" s="8">
        <v>2.8683815797042201E-2</v>
      </c>
      <c r="Y57" s="8">
        <v>0</v>
      </c>
      <c r="Z57" s="8">
        <v>0</v>
      </c>
      <c r="AA57" s="8">
        <v>2.60614101652854E-3</v>
      </c>
      <c r="AB57" s="8">
        <v>3.2660338350653699E-3</v>
      </c>
      <c r="AC57" s="8">
        <v>5.8418875075722902E-2</v>
      </c>
      <c r="AD57" s="8">
        <v>6.429104992731681E-2</v>
      </c>
    </row>
    <row r="58" spans="1:30" x14ac:dyDescent="0.3">
      <c r="A58" s="2">
        <v>88</v>
      </c>
      <c r="B58" s="2" t="s">
        <v>139</v>
      </c>
      <c r="C58" s="2" t="s">
        <v>9</v>
      </c>
      <c r="D58" s="2" t="s">
        <v>58</v>
      </c>
      <c r="E58" s="3">
        <v>1</v>
      </c>
      <c r="F58" s="3" t="s">
        <v>29</v>
      </c>
      <c r="G58" s="3">
        <v>1</v>
      </c>
      <c r="H58" s="3">
        <v>1</v>
      </c>
      <c r="I58" s="3" t="s">
        <v>36</v>
      </c>
      <c r="J58" s="3">
        <v>0</v>
      </c>
      <c r="K58" s="3" t="s">
        <v>31</v>
      </c>
      <c r="L58" s="3" t="s">
        <v>37</v>
      </c>
      <c r="M58" s="3" t="s">
        <v>31</v>
      </c>
      <c r="N58" s="4">
        <v>1.45744332645828</v>
      </c>
      <c r="O58" s="4">
        <v>0.48082278886219698</v>
      </c>
      <c r="P58" s="4">
        <v>1.4908486646060599</v>
      </c>
      <c r="Q58" s="5">
        <v>0.5897</v>
      </c>
      <c r="R58" s="6" t="s">
        <v>140</v>
      </c>
      <c r="S58" s="3">
        <v>1</v>
      </c>
      <c r="T58" s="3" t="s">
        <v>82</v>
      </c>
      <c r="U58" s="3" t="s">
        <v>82</v>
      </c>
      <c r="V58" s="8">
        <v>8.1785550817855504E-2</v>
      </c>
      <c r="W58" s="8">
        <v>0.122678326226783</v>
      </c>
      <c r="X58" s="8">
        <v>0</v>
      </c>
      <c r="Y58" s="8">
        <v>0</v>
      </c>
      <c r="Z58" s="8">
        <v>0</v>
      </c>
      <c r="AA58" s="8">
        <v>0.238908855888809</v>
      </c>
      <c r="AB58" s="8">
        <v>0</v>
      </c>
      <c r="AC58" s="8">
        <v>0.59726048703053702</v>
      </c>
      <c r="AD58" s="8">
        <v>0.83616934291934597</v>
      </c>
    </row>
    <row r="59" spans="1:30" x14ac:dyDescent="0.3">
      <c r="A59" s="2">
        <v>89</v>
      </c>
      <c r="B59" s="2" t="s">
        <v>177</v>
      </c>
      <c r="C59" s="2" t="s">
        <v>9</v>
      </c>
      <c r="D59" s="2" t="s">
        <v>166</v>
      </c>
      <c r="E59" s="3">
        <v>1</v>
      </c>
      <c r="F59" s="3" t="s">
        <v>29</v>
      </c>
      <c r="G59" s="3">
        <v>3</v>
      </c>
      <c r="H59" s="3">
        <v>0</v>
      </c>
      <c r="I59" s="3" t="s">
        <v>36</v>
      </c>
      <c r="J59" s="3">
        <v>1</v>
      </c>
      <c r="K59" s="3" t="s">
        <v>37</v>
      </c>
      <c r="L59" s="3" t="s">
        <v>37</v>
      </c>
      <c r="M59" s="3" t="s">
        <v>30</v>
      </c>
      <c r="N59" s="4">
        <v>1.95378909364188</v>
      </c>
      <c r="O59" s="4">
        <v>0.82036526663406695</v>
      </c>
      <c r="P59" s="4">
        <v>2.5222958406240701</v>
      </c>
      <c r="Q59" s="5">
        <v>0.6139</v>
      </c>
      <c r="S59" s="3">
        <v>1</v>
      </c>
      <c r="T59" s="3" t="s">
        <v>82</v>
      </c>
      <c r="U59" s="3" t="s">
        <v>101</v>
      </c>
      <c r="V59" s="8">
        <v>7.4038403393445196E-2</v>
      </c>
      <c r="W59" s="8">
        <v>0.111057605090167</v>
      </c>
      <c r="X59" s="8">
        <v>0</v>
      </c>
      <c r="Y59" s="8">
        <v>0</v>
      </c>
      <c r="Z59" s="8">
        <v>0</v>
      </c>
      <c r="AA59" s="8">
        <v>0.65040701715784099</v>
      </c>
      <c r="AB59" s="8">
        <v>0</v>
      </c>
      <c r="AC59" s="8">
        <v>0.37066876960933198</v>
      </c>
      <c r="AD59" s="8">
        <v>1.0210999999999999</v>
      </c>
    </row>
    <row r="60" spans="1:30" x14ac:dyDescent="0.3">
      <c r="A60" s="2">
        <v>90</v>
      </c>
      <c r="B60" s="2" t="s">
        <v>165</v>
      </c>
      <c r="C60" s="2" t="s">
        <v>9</v>
      </c>
      <c r="D60" s="2" t="s">
        <v>167</v>
      </c>
      <c r="E60" s="3">
        <v>1</v>
      </c>
      <c r="F60" s="3" t="s">
        <v>29</v>
      </c>
      <c r="G60" s="3">
        <v>2</v>
      </c>
      <c r="H60" s="3">
        <v>1</v>
      </c>
      <c r="I60" s="3" t="s">
        <v>36</v>
      </c>
      <c r="J60" s="3">
        <v>1</v>
      </c>
      <c r="K60" s="3" t="s">
        <v>31</v>
      </c>
      <c r="L60" s="3" t="s">
        <v>37</v>
      </c>
      <c r="M60" s="3" t="s">
        <v>31</v>
      </c>
      <c r="N60" s="4">
        <v>0.74944180516918601</v>
      </c>
      <c r="O60" s="4">
        <v>0.17014887014865501</v>
      </c>
      <c r="P60" s="4">
        <v>0.76375406542160096</v>
      </c>
      <c r="Q60" s="5">
        <v>0.57269999999999999</v>
      </c>
      <c r="R60" s="6" t="s">
        <v>101</v>
      </c>
      <c r="S60" s="3">
        <v>1</v>
      </c>
      <c r="T60" s="3" t="s">
        <v>82</v>
      </c>
      <c r="U60" s="3" t="s">
        <v>101</v>
      </c>
      <c r="V60" s="8">
        <v>8.6243675760395905E-2</v>
      </c>
      <c r="W60" s="8">
        <v>0.12936551364059301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0.75746103836228396</v>
      </c>
      <c r="AD60" s="8">
        <v>0.75746103836228396</v>
      </c>
    </row>
    <row r="61" spans="1:30" x14ac:dyDescent="0.3">
      <c r="A61" s="2">
        <v>91</v>
      </c>
      <c r="B61" s="2" t="s">
        <v>152</v>
      </c>
      <c r="C61" s="2" t="s">
        <v>9</v>
      </c>
      <c r="D61" s="2" t="s">
        <v>168</v>
      </c>
      <c r="E61" s="3">
        <v>1</v>
      </c>
      <c r="F61" s="3" t="s">
        <v>29</v>
      </c>
      <c r="G61" s="3">
        <v>2</v>
      </c>
      <c r="H61" s="3">
        <v>1</v>
      </c>
      <c r="I61" s="3" t="s">
        <v>36</v>
      </c>
      <c r="J61" s="3">
        <v>1</v>
      </c>
      <c r="K61" s="3" t="s">
        <v>37</v>
      </c>
      <c r="L61" s="3" t="s">
        <v>37</v>
      </c>
      <c r="M61" s="3" t="s">
        <v>37</v>
      </c>
      <c r="N61" s="4">
        <v>0.88675714892420898</v>
      </c>
      <c r="O61" s="4">
        <v>0.23228376896943501</v>
      </c>
      <c r="P61" s="4">
        <v>0.94721767236670995</v>
      </c>
      <c r="Q61" s="5">
        <v>0.5998</v>
      </c>
      <c r="R61" s="6" t="s">
        <v>101</v>
      </c>
      <c r="S61" s="3">
        <v>1</v>
      </c>
      <c r="T61" s="3" t="s">
        <v>82</v>
      </c>
      <c r="U61" s="3" t="s">
        <v>101</v>
      </c>
      <c r="V61" s="8">
        <v>8.6243675760395905E-2</v>
      </c>
      <c r="W61" s="8">
        <v>0.12936551364059301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0.16121054552610001</v>
      </c>
      <c r="AD61" s="8">
        <v>0.16121054552610001</v>
      </c>
    </row>
    <row r="62" spans="1:30" x14ac:dyDescent="0.3">
      <c r="N62" s="4"/>
      <c r="O62" s="4"/>
      <c r="P62" s="4"/>
      <c r="Q62" s="5"/>
    </row>
    <row r="63" spans="1:30" x14ac:dyDescent="0.3">
      <c r="N63" s="4"/>
      <c r="O63" s="4"/>
      <c r="P63" s="4"/>
      <c r="Q63" s="5"/>
    </row>
    <row r="64" spans="1:30" x14ac:dyDescent="0.3">
      <c r="N64" s="4"/>
      <c r="O64" s="4"/>
      <c r="P64" s="4"/>
    </row>
    <row r="65" spans="14:16" x14ac:dyDescent="0.3">
      <c r="N65" s="4"/>
      <c r="O65" s="4"/>
      <c r="P65" s="4"/>
    </row>
    <row r="66" spans="14:16" x14ac:dyDescent="0.3">
      <c r="N66" s="4"/>
      <c r="O66" s="4"/>
      <c r="P66" s="4"/>
    </row>
    <row r="67" spans="14:16" x14ac:dyDescent="0.3">
      <c r="N67" s="4"/>
      <c r="O67" s="4"/>
      <c r="P67" s="4"/>
    </row>
    <row r="68" spans="14:16" x14ac:dyDescent="0.3">
      <c r="N68" s="4"/>
      <c r="O68" s="4"/>
      <c r="P68" s="4"/>
    </row>
    <row r="69" spans="14:16" x14ac:dyDescent="0.3">
      <c r="N69" s="4"/>
      <c r="O69" s="4"/>
      <c r="P69" s="4"/>
    </row>
    <row r="70" spans="14:16" x14ac:dyDescent="0.3">
      <c r="N70" s="4"/>
      <c r="O70" s="4"/>
      <c r="P70" s="4"/>
    </row>
    <row r="71" spans="14:16" x14ac:dyDescent="0.3">
      <c r="N71" s="4"/>
      <c r="O71" s="4"/>
      <c r="P71" s="4"/>
    </row>
    <row r="72" spans="14:16" x14ac:dyDescent="0.3">
      <c r="N72" s="4"/>
      <c r="O72" s="4"/>
      <c r="P72" s="4"/>
    </row>
    <row r="73" spans="14:16" x14ac:dyDescent="0.3">
      <c r="N73" s="4"/>
      <c r="O73" s="4"/>
      <c r="P73" s="4"/>
    </row>
  </sheetData>
  <autoFilter ref="A1:AD61" xr:uid="{7EA85777-90FC-44FD-BED4-7B2F7B5E42B4}">
    <sortState xmlns:xlrd2="http://schemas.microsoft.com/office/spreadsheetml/2017/richdata2" ref="A2:AD61">
      <sortCondition ref="A1:A6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Custers</dc:creator>
  <cp:lastModifiedBy>Bart Custers</cp:lastModifiedBy>
  <dcterms:created xsi:type="dcterms:W3CDTF">2026-01-25T08:48:33Z</dcterms:created>
  <dcterms:modified xsi:type="dcterms:W3CDTF">2026-03-13T21:00:50Z</dcterms:modified>
</cp:coreProperties>
</file>